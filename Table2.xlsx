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elected GO" sheetId="1" state="visible" r:id="rId2"/>
    <sheet name="selected KEGG" sheetId="2" state="visible" r:id="rId3"/>
    <sheet name="selected Reactome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<sst xmlns="http://schemas.openxmlformats.org/spreadsheetml/2006/main" count="545" uniqueCount="436">
  <si>
    <t xml:space="preserve">Stage I</t>
  </si>
  <si>
    <t xml:space="preserve">Stage II</t>
  </si>
  <si>
    <t xml:space="preserve">Stage III</t>
  </si>
  <si>
    <t xml:space="preserve">GO</t>
  </si>
  <si>
    <t xml:space="preserve">Term</t>
  </si>
  <si>
    <t xml:space="preserve">Count</t>
  </si>
  <si>
    <t xml:space="preserve">Genes</t>
  </si>
  <si>
    <t xml:space="preserve">Genes_Stage_I</t>
  </si>
  <si>
    <t xml:space="preserve">Genes_Stage_II</t>
  </si>
  <si>
    <t xml:space="preserve">Genes_Stage_III</t>
  </si>
  <si>
    <t xml:space="preserve">Stage_I_norm</t>
  </si>
  <si>
    <t xml:space="preserve">Stage_II_norm</t>
  </si>
  <si>
    <t xml:space="preserve">Stage_III_norm</t>
  </si>
  <si>
    <t xml:space="preserve">Letter</t>
  </si>
  <si>
    <t xml:space="preserve">Genes_Stage_str_I</t>
  </si>
  <si>
    <t xml:space="preserve">Genes_Stage_str_II</t>
  </si>
  <si>
    <t xml:space="preserve">Genes_Stage_str_III</t>
  </si>
  <si>
    <t xml:space="preserve">GO:regulation of nervous system development</t>
  </si>
  <si>
    <t xml:space="preserve">HIF1A(7), EPHA4(8), NR1D1(9), PARD3(1), PARD3(1), THY1(11), PRKCI(12), ROBO1(13)</t>
  </si>
  <si>
    <t xml:space="preserve">HIF1A, EPHA4, NR1D1, PARD3, PARD3, THY1, PRKCI, ROBO1</t>
  </si>
  <si>
    <t xml:space="preserve">GO1</t>
  </si>
  <si>
    <t xml:space="preserve">HIF1A(7), EPHA4(8), NR1D1(9), PARD3(10), PARD3(10), THY1(11), PRKCI(12), ROBO1(13)</t>
  </si>
  <si>
    <t xml:space="preserve">GO:axonogenesis</t>
  </si>
  <si>
    <t xml:space="preserve">CTTN(14), EFNB1(15), EPHB6(16), EPHA4(8), PARD3(1), PARD3(1), THY1(11), ROBO1(13)</t>
  </si>
  <si>
    <t xml:space="preserve">CTTN, EFNB1, EPHB6, EPHA4, PARD3, PARD3, THY1, ROBO1</t>
  </si>
  <si>
    <t xml:space="preserve">GO2</t>
  </si>
  <si>
    <t xml:space="preserve">CTTN(14), EFNB1(15), EPHB6(16), EPHA4(8), PARD3(10), PARD3(10), THY1(11), ROBO1(13)</t>
  </si>
  <si>
    <t xml:space="preserve">GO:mesenchyme development</t>
  </si>
  <si>
    <t xml:space="preserve">EFNB1, HIF1A, EPHA4, LAMA5, ADAM8, ROBO1, HNRNPAB, HNRNPAB</t>
  </si>
  <si>
    <t xml:space="preserve">GO3</t>
  </si>
  <si>
    <t xml:space="preserve">EFNB1(15), HIF1A(7), EPHA4(8), LAMA5(17), ADAM8(18), ROBO1(13), HNRNPAB(19), HNRNPAB(19)</t>
  </si>
  <si>
    <t xml:space="preserve">GO:site of polarized growth</t>
  </si>
  <si>
    <t xml:space="preserve">CTTN(14), EPHA4(8), ACAP3(2), THY1(11), SRC(21)</t>
  </si>
  <si>
    <t xml:space="preserve">CTTN, EPHA4, ACAP3, THY1, SRC</t>
  </si>
  <si>
    <t xml:space="preserve">GO4</t>
  </si>
  <si>
    <t xml:space="preserve">CTTN(14), EPHA4(8), ACAP3(20), THY1(11), SRC(21)</t>
  </si>
  <si>
    <t xml:space="preserve">GO:growth cone</t>
  </si>
  <si>
    <t xml:space="preserve">GO5</t>
  </si>
  <si>
    <t xml:space="preserve">GO:response to interleukin-1</t>
  </si>
  <si>
    <t xml:space="preserve">VRK2, HIF1A, NR1D1, PRKCI, SRC</t>
  </si>
  <si>
    <t xml:space="preserve">GO6</t>
  </si>
  <si>
    <t xml:space="preserve">VRK2(22), HIF1A(7), NR1D1(9), PRKCI(12), SRC(21)</t>
  </si>
  <si>
    <t xml:space="preserve">GO:mesenchymal cell differentiation</t>
  </si>
  <si>
    <t xml:space="preserve">EFNB1, HIF1A, EPHA4, LAMA5, ADAM8, HNRNPAB, HNRNPAB</t>
  </si>
  <si>
    <t xml:space="preserve">GO7</t>
  </si>
  <si>
    <t xml:space="preserve">EFNB1(15), HIF1A(7), EPHA4(8), LAMA5(17), ADAM8(18), HNRNPAB(19), HNRNPAB(19)</t>
  </si>
  <si>
    <t xml:space="preserve">GO:focal adhesion</t>
  </si>
  <si>
    <t xml:space="preserve">CTTN, PPFIA1, RPLP1, THY1, SRC, HSPA1A</t>
  </si>
  <si>
    <t xml:space="preserve">GO8</t>
  </si>
  <si>
    <t xml:space="preserve">CTTN(14), PPFIA1(23), RPLP1(24), THY1(11), SRC(21), HSPA1A(25)</t>
  </si>
  <si>
    <t xml:space="preserve">GO:cell-cell junction organization</t>
  </si>
  <si>
    <t xml:space="preserve">EPHA4(8), PARD3(1), PARD3(1), PRKCI(12), MTSS1(26), SRC(21)</t>
  </si>
  <si>
    <t xml:space="preserve">EPHA4, PARD3, PARD3, PRKCI, MTSS1, SRC</t>
  </si>
  <si>
    <t xml:space="preserve">GO9</t>
  </si>
  <si>
    <t xml:space="preserve">EPHA4(8), PARD3(10), PARD3(10), PRKCI(12), MTSS1(26), SRC(21)</t>
  </si>
  <si>
    <t xml:space="preserve">GO:cell-substrate junction</t>
  </si>
  <si>
    <t xml:space="preserve">GO10</t>
  </si>
  <si>
    <t xml:space="preserve">GO:mitochondrial inner membrane</t>
  </si>
  <si>
    <t xml:space="preserve">TIMM9, NDUFS8, NDUFS8, COX6A1, MRPL18, COX7A2L, PLA2G4A, MRPS7, MRPL17, MAIP1, PHB1, MRPL48, GADD45GIP1, MRPS23, MRPS16, MRPL4, TIMM23</t>
  </si>
  <si>
    <t xml:space="preserve">TIMM9, NDUFS8, NDUFS8, COX6A1, MRPL18, COX7A2L, PLA2G4A, MRPS7, MRPL17, MAIP1, PHB1, MRPL48, GADD45GIP1, MRPS23, MRPS16, MRPL40, TIMM23</t>
  </si>
  <si>
    <t xml:space="preserve">GO11</t>
  </si>
  <si>
    <t xml:space="preserve">TIMM9(27), NDUFS8(28), NDUFS8(28), COX6A1(29), MRPL18(30), COX7A2L(31), PLA2G4A(32), MRPS7(33), MRPL17(34), MAIP1(35), PHB1(36), MRPL48(37), GADD45GIP1(38), MRPS23(39), MRPS16(49)(40), MRPL40(41), TIMM23(42)</t>
  </si>
  <si>
    <t xml:space="preserve">GO:mitochondrial matrix</t>
  </si>
  <si>
    <t xml:space="preserve">NDUFS8, NDUFS8, MRPL18, MRPS7, SUPV3L1, MALSU1, MRPL17, MAIP1, ABCE1, NUDT2, MRPL48, GADD45GIP1, MRPS23, MRPS16, GLRX5, MRPL4</t>
  </si>
  <si>
    <t xml:space="preserve">NDUFS8, NDUFS8, MRPL18, MRPS7, SUPV3L1, MALSU1, MRPL17, MAIP1, ABCE1, NUDT2, MRPL48, GADD45GIP1, MRPS23, MRPS16, GLRX5, MRPL40</t>
  </si>
  <si>
    <t xml:space="preserve">GO12</t>
  </si>
  <si>
    <t xml:space="preserve">NDUFS8(28), NDUFS8(28), MRPL18(30), MRPS7(33), SUPV3L1(43), MALSU1(44), MRPL17(34), MAIP1(35), ABCE1(45), NUDT2(46), MRPL48(37), GADD45GIP1(38), MRPS23(39), MRPS16(49)(40), GLRX5(47), MRPL40(41)</t>
  </si>
  <si>
    <t xml:space="preserve">GO:mitochondrial protein-containing complex</t>
  </si>
  <si>
    <t xml:space="preserve">TIMM9, NDUFS8, NDUFS8, COX6A1, MRPL18, COX7A2L, MRPS7, SUPV3L1, MRPL17, PHB1, MRPL48, GADD45GIP1, MRPS23, MRPS16, MRPL4, TIMM23</t>
  </si>
  <si>
    <t xml:space="preserve">TIMM9, NDUFS8, NDUFS8, COX6A1, MRPL18, COX7A2L, MRPS7, SUPV3L1, MRPL17, PHB1, MRPL48, GADD45GIP1, MRPS23, MRPS16, MRPL40, TIMM23</t>
  </si>
  <si>
    <t xml:space="preserve">GO13</t>
  </si>
  <si>
    <t xml:space="preserve">TIMM9(27), NDUFS8(28), NDUFS8(28), COX6A1(29), MRPL18(30), COX7A2L(31), MRPS7(33), SUPV3L1(43), MRPL17(34), PHB1(36), MRPL48(37), GADD45GIP1(38), MRPS23(39), MRPS16(49)(40), MRPL40(41), TIMM23(42)</t>
  </si>
  <si>
    <t xml:space="preserve">GO:ribosome</t>
  </si>
  <si>
    <t xml:space="preserve">RPS5, RPS16, MRPL18, MRPS7, MRPL17, ABCE1, MRPL48, GADD45GIP1, MRPS23, MRPS16, MRPL4, HSPA14</t>
  </si>
  <si>
    <t xml:space="preserve">RPS5, RPS16, MRPL18, MRPS7, MRPL17, ABCE1, MRPL48, GADD45GIP1, MRPS23, MRPS16, MRPL40, HSPA14</t>
  </si>
  <si>
    <t xml:space="preserve">GO14</t>
  </si>
  <si>
    <t xml:space="preserve">RPS5(48), RPS16(49), MRPL18(30), MRPS7(33), MRPL17(34), ABCE1(45), MRPL48(37), GADD45GIP1(38), MRPS23(39), MRPS16(49)(40), MRPL40(41), HSPA14(50)</t>
  </si>
  <si>
    <t xml:space="preserve">GO:proteasome regulatory particle</t>
  </si>
  <si>
    <t xml:space="preserve">PSMC6, PSMC6, PSMD7, PSMD4, PSMD4, PSMD4, PSMD4, PSMC2, PSMC2</t>
  </si>
  <si>
    <t xml:space="preserve">GO15</t>
  </si>
  <si>
    <t xml:space="preserve">PSMC6(51), PSMC6(51), PSMD7(52), PSMD4(53), PSMD4(53), PSMD4(53), PSMD4(53), PSMC2(54), PSMC2(54)</t>
  </si>
  <si>
    <t xml:space="preserve">GO:mitochondrial translation</t>
  </si>
  <si>
    <t xml:space="preserve">MRPL18, MRPS7, MALSU1, MRPL17, MRPL48, GADD45GIP1, MRPS23, MRPS16, MRPL4</t>
  </si>
  <si>
    <t xml:space="preserve">MRPL18, MRPS7, MALSU1, MRPL17, MRPL48, GADD45GIP1, MRPS23, MRPS16, MRPL40</t>
  </si>
  <si>
    <t xml:space="preserve">GO16</t>
  </si>
  <si>
    <t xml:space="preserve">MRPL18(30), MRPS7(33), MALSU1(44), MRPL17(34), MRPL48(37), GADD45GIP1(38), MRPS23(39), MRPS16(49)(40), MRPL40(41)</t>
  </si>
  <si>
    <t xml:space="preserve">GO:peptidase complex</t>
  </si>
  <si>
    <t xml:space="preserve">CAPN1, PSMC6, PSMA7, USP14, PSMD7, TADA1, PSMD4, PSMD4, PSMC2</t>
  </si>
  <si>
    <t xml:space="preserve">GO17</t>
  </si>
  <si>
    <t xml:space="preserve">CAPN1(55), PSMC6(51), PSMA7(56), USP14(57), PSMD7(52), TADA1(58), PSMD4(53), PSMD4(53), PSMC2(54)</t>
  </si>
  <si>
    <t xml:space="preserve">GO:ribosomal subunit</t>
  </si>
  <si>
    <t xml:space="preserve">RPS5, RPS16, MRPL18, MRPS7, MRPL17, MRPL48, GADD45GIP1, MRPS23, MRPS16, MRPL4</t>
  </si>
  <si>
    <t xml:space="preserve">RPS5, RPS16, MRPL18, MRPS7, MRPL17, MRPL48, GADD45GIP1, MRPS23, MRPS16, MRPL40</t>
  </si>
  <si>
    <t xml:space="preserve">GO18</t>
  </si>
  <si>
    <t xml:space="preserve">RPS5(48), RPS16(49), MRPL18(30), MRPS7(33), MRPL17(34), MRPL48(37), GADD45GIP1(38), MRPS23(39), MRPS16(49)(40), MRPL40(41)</t>
  </si>
  <si>
    <t xml:space="preserve">GO:mitochondrial gene expression</t>
  </si>
  <si>
    <t xml:space="preserve">MRPL18, MRPS7, SUPV3L1, MALSU1, MRPL17, MRPL48, GADD45GIP1, MRPS23, MRPS16, MRPL4</t>
  </si>
  <si>
    <t xml:space="preserve">MRPL18, MRPS7, SUPV3L1, MALSU1, MRPL17, MRPL48, GADD45GIP1, MRPS23, MRPS16, MRPL40</t>
  </si>
  <si>
    <t xml:space="preserve">GO19</t>
  </si>
  <si>
    <t xml:space="preserve">MRPL18(30), MRPS7(33), SUPV3L1(43), MALSU1(44), MRPL17(34), MRPL48(37), GADD45GIP1(38), MRPS23(39), MRPS16(49)(40), MRPL40(41)</t>
  </si>
  <si>
    <t xml:space="preserve">GO:nuclear envelope</t>
  </si>
  <si>
    <t xml:space="preserve">SEH1L, TMEM147, HTATIP2, PLA2G4A, NXT1, SLC16A3, LBR, MRPS23, THAP7, NOC4L</t>
  </si>
  <si>
    <t xml:space="preserve">GO20</t>
  </si>
  <si>
    <t xml:space="preserve">SEH1L(59), TMEM147(60), HTATIP2(61), PLA2G4A(32), NXT1(62), SLC16A3(63), LBR(64), MRPS23(39), THAP7(65), NOC4L(66)</t>
  </si>
  <si>
    <t xml:space="preserve">GO:secretory IgA immunoglobulin complex</t>
  </si>
  <si>
    <t xml:space="preserve">IGHA2</t>
  </si>
  <si>
    <t xml:space="preserve">GO21</t>
  </si>
  <si>
    <t xml:space="preserve">IGHA2(1)</t>
  </si>
  <si>
    <t xml:space="preserve">GO:secretory dimeric IgA immunoglobulin complex</t>
  </si>
  <si>
    <t xml:space="preserve">GO22</t>
  </si>
  <si>
    <t xml:space="preserve">GO:polymeric IgA immunoglobulin complex</t>
  </si>
  <si>
    <t xml:space="preserve">GO23</t>
  </si>
  <si>
    <t xml:space="preserve">GO:phagocytic vesicle lumen</t>
  </si>
  <si>
    <t xml:space="preserve">LTF</t>
  </si>
  <si>
    <t xml:space="preserve">GO24</t>
  </si>
  <si>
    <t xml:space="preserve">LTF(2)</t>
  </si>
  <si>
    <t xml:space="preserve">GO:monomeric IgA immunoglobulin complex</t>
  </si>
  <si>
    <t xml:space="preserve">GO25</t>
  </si>
  <si>
    <t xml:space="preserve">GO:germinal vesicle</t>
  </si>
  <si>
    <t xml:space="preserve">MARCKS</t>
  </si>
  <si>
    <t xml:space="preserve">GO26</t>
  </si>
  <si>
    <t xml:space="preserve">MARCKS(3)</t>
  </si>
  <si>
    <t xml:space="preserve">GO:IgA immunoglobulin complex</t>
  </si>
  <si>
    <t xml:space="preserve">GO27</t>
  </si>
  <si>
    <t xml:space="preserve">GO:tertiary granule lumen</t>
  </si>
  <si>
    <t xml:space="preserve">LTF, OLFM4</t>
  </si>
  <si>
    <t xml:space="preserve">GO28</t>
  </si>
  <si>
    <t xml:space="preserve">LTF(2), OLFM4(4)</t>
  </si>
  <si>
    <t xml:space="preserve">GO:cytoplasmic stress granule</t>
  </si>
  <si>
    <t xml:space="preserve">GRB7, DHX36</t>
  </si>
  <si>
    <t xml:space="preserve">GO29</t>
  </si>
  <si>
    <t xml:space="preserve">GRB7(5), DHX36(6)</t>
  </si>
  <si>
    <t xml:space="preserve">GO:specific granule lumen</t>
  </si>
  <si>
    <t xml:space="preserve">GO30</t>
  </si>
  <si>
    <t xml:space="preserve">KEGG:Endocytosis</t>
  </si>
  <si>
    <t xml:space="preserve">ACAP3(2), PARD3(1), PARD3(1), PRKCI(12), SRC(21), HSPA1A(25)</t>
  </si>
  <si>
    <t xml:space="preserve">ARF5(78), VTA1(79), AP2S1(8), CLTA(81)</t>
  </si>
  <si>
    <t xml:space="preserve">ACAP3, PARD3, PARD3, PRKCI, SRC, HSPA1A</t>
  </si>
  <si>
    <t xml:space="preserve">ARF5, VTA1, AP2S1, CLTA</t>
  </si>
  <si>
    <t xml:space="preserve">KEGG1</t>
  </si>
  <si>
    <t xml:space="preserve">ACAP3(20), PARD3(10), PARD3(10), PRKCI(12), SRC(21), HSPA1A(25)</t>
  </si>
  <si>
    <t xml:space="preserve">ARF5(78), VTA1(79), AP2S1(80), CLTA(81)</t>
  </si>
  <si>
    <t xml:space="preserve">KEGG:Axon guidance</t>
  </si>
  <si>
    <t xml:space="preserve">EFNB1(15), EPHB6(16), EPHA4(8), PARD3(1), PARD3(1), ROBO1(13), SRC(21)</t>
  </si>
  <si>
    <t xml:space="preserve">EFNB1, EPHB6, EPHA4, PARD3, PARD3, ROBO1, SRC</t>
  </si>
  <si>
    <t xml:space="preserve">SEMA4C</t>
  </si>
  <si>
    <t xml:space="preserve">KEGG2</t>
  </si>
  <si>
    <t xml:space="preserve">EFNB1(15), EPHB6(16), EPHA4(8), PARD3(10), PARD3(10), ROBO1(13), SRC(21)</t>
  </si>
  <si>
    <t xml:space="preserve">SEMA4C(82)</t>
  </si>
  <si>
    <t xml:space="preserve">KEGG:Human papillomavirus infection</t>
  </si>
  <si>
    <t xml:space="preserve">LAMA5(17), PARD3(1), PARD3(1), PRKCI(12)</t>
  </si>
  <si>
    <t xml:space="preserve">LAMA5, PARD3, PARD3, PRKCI</t>
  </si>
  <si>
    <t xml:space="preserve">DVL2, DVL2, PSMB1, AKT2, RHEB, RPS6KB2</t>
  </si>
  <si>
    <t xml:space="preserve">KEGG3</t>
  </si>
  <si>
    <t xml:space="preserve">LAMA5(17), PARD3(10), PARD3(10), PRKCI(12)</t>
  </si>
  <si>
    <t xml:space="preserve">DVL2(83), DVL2(83), PSMB1(84), AKT2(85), RHEB(86), RPS6KB2(87)</t>
  </si>
  <si>
    <t xml:space="preserve">KEGG:Adherens junction</t>
  </si>
  <si>
    <t xml:space="preserve">PARD3(1), PARD3(1), SRC(21)</t>
  </si>
  <si>
    <t xml:space="preserve">PARD3, PARD3, SRC</t>
  </si>
  <si>
    <t xml:space="preserve">KEGG4</t>
  </si>
  <si>
    <t xml:space="preserve">PARD3(10), PARD3(10), SRC(21)</t>
  </si>
  <si>
    <t xml:space="preserve">KEGG:Proteoglycans in cancer</t>
  </si>
  <si>
    <t xml:space="preserve">CTTN, HIF1A, SRC</t>
  </si>
  <si>
    <t xml:space="preserve">AKT2, RPS6KB2</t>
  </si>
  <si>
    <t xml:space="preserve">KEGG5</t>
  </si>
  <si>
    <t xml:space="preserve">CTTN(14), HIF1A(7), SRC(21)</t>
  </si>
  <si>
    <t xml:space="preserve">AKT2(85), RPS6KB2(87)</t>
  </si>
  <si>
    <t xml:space="preserve">KEGG:Hippo signaling pathway</t>
  </si>
  <si>
    <t xml:space="preserve">PARD3(1), PARD3(1), PRKCI(12)</t>
  </si>
  <si>
    <t xml:space="preserve">PARD3, PARD3, PRKCI</t>
  </si>
  <si>
    <t xml:space="preserve">DVL2, DVL2, PSMB1</t>
  </si>
  <si>
    <t xml:space="preserve">KEGG6</t>
  </si>
  <si>
    <t xml:space="preserve">PARD3(10), PARD3(10), PRKCI(12)</t>
  </si>
  <si>
    <t xml:space="preserve">DVL2(83), DVL2(83), PSMB1(84)</t>
  </si>
  <si>
    <t xml:space="preserve">KEGG:Protein processing in endoplasmic reticulum</t>
  </si>
  <si>
    <t xml:space="preserve">MOGS, RPN2, HSPA1A</t>
  </si>
  <si>
    <t xml:space="preserve">CAPN1, HSPBP1, OSTC</t>
  </si>
  <si>
    <t xml:space="preserve">KEGG7</t>
  </si>
  <si>
    <t xml:space="preserve">MOGS(73), RPN2(74), HSPA1A(25)</t>
  </si>
  <si>
    <t xml:space="preserve">CAPN1(55), HSPBP1(88), OSTC(89)</t>
  </si>
  <si>
    <t xml:space="preserve">KEGG:Tight junction</t>
  </si>
  <si>
    <t xml:space="preserve">CTTN(14), PARD3(1), PARD3(1), PRKCI(12), SRC(21)</t>
  </si>
  <si>
    <t xml:space="preserve">CTTN, PARD3, PARD3, PRKCI, SRC</t>
  </si>
  <si>
    <t xml:space="preserve">KEGG8</t>
  </si>
  <si>
    <t xml:space="preserve">CTTN(14), PARD3(10), PARD3(10), PRKCI(12), SRC(21)</t>
  </si>
  <si>
    <t xml:space="preserve">KEGG:Chemokine signaling pathway</t>
  </si>
  <si>
    <t xml:space="preserve">PARD3(1), PARD3(1), CXCL11(75), SRC(21)</t>
  </si>
  <si>
    <t xml:space="preserve">PARD3, PARD3, CXCL11, SRC</t>
  </si>
  <si>
    <t xml:space="preserve">AKT2</t>
  </si>
  <si>
    <t xml:space="preserve">KEGG9</t>
  </si>
  <si>
    <t xml:space="preserve">PARD3(10), PARD3(10), CXCL11(75), SRC(21)</t>
  </si>
  <si>
    <t xml:space="preserve">AKT2(85)</t>
  </si>
  <si>
    <t xml:space="preserve">KEGG:Rap1 signaling pathway</t>
  </si>
  <si>
    <t xml:space="preserve">PARD3(1), PARD3(1), PRKCI(12), SRC(21)</t>
  </si>
  <si>
    <t xml:space="preserve">PARD3, PARD3, PRKCI, SRC</t>
  </si>
  <si>
    <t xml:space="preserve">KEGG10</t>
  </si>
  <si>
    <t xml:space="preserve">PARD3(10), PARD3(10), PRKCI(12), SRC(21)</t>
  </si>
  <si>
    <t xml:space="preserve">KEGG:Pathways of neurodegeneration - multiple diseases</t>
  </si>
  <si>
    <t xml:space="preserve">DVL2, DVL2, PSMB1, CAPN1, PSMC6, PSMA7, PSMD7, NDUFS8, NDUFS8, COX6A1, COX7A2L, PSMD4, PSMD4, PSMC2</t>
  </si>
  <si>
    <t xml:space="preserve">KEGG11</t>
  </si>
  <si>
    <t xml:space="preserve">DVL2(83), DVL2(83), PSMB1(84), CAPN1(55), PSMC6(51), PSMA7(56), PSMD7(52), NDUFS8(28), NDUFS8(28), COX6A1(29), COX7A2L(31), PSMD4(53), PSMD4(53), PSMC2(54)</t>
  </si>
  <si>
    <t xml:space="preserve">KEGG:Alzheimer disease</t>
  </si>
  <si>
    <t xml:space="preserve">DVL2(83), DVL2(83), PSMB1(84), CAPN1(55), PSMC6(51), PSMA7(56), PSMD7(52), AKT2(85), NDUFS8(28), NDUFS8(28), COX6A1(29), COX7A2L(31), PSMD4(53), PSMD4(53), PSMC2(54), SLC39A1(9)</t>
  </si>
  <si>
    <t xml:space="preserve">DVL2, DVL2, PSMB1, CAPN1, PSMC6, PSMA7, PSMD7, AKT2, NDUFS8, NDUFS8, COX6A1, COX7A2L, PSMD4, PSMD4, PSMC2, SLC39A10</t>
  </si>
  <si>
    <t xml:space="preserve">KEGG12</t>
  </si>
  <si>
    <t xml:space="preserve">DVL2(83), DVL2(83), PSMB1(84), CAPN1(55), PSMC6(51), PSMA7(56), PSMD7(52), AKT2(85), NDUFS8(28), NDUFS8(28), COX6A1(29), COX7A2L(31), PSMD4(53), PSMD4(53), PSMC2(54), SLC39A10(90)</t>
  </si>
  <si>
    <t xml:space="preserve">KEGG:Hepatocellular carcinoma</t>
  </si>
  <si>
    <t xml:space="preserve">DVL2, DVL2, PSMB1, AKT2, SMARCD2, SMARCD2, RPS6KB2</t>
  </si>
  <si>
    <t xml:space="preserve">KEGG13</t>
  </si>
  <si>
    <t xml:space="preserve">DVL2(83), DVL2(83), PSMB1(84), AKT2(85), SMARCD2(91), SMARCD2(91), RPS6KB2(87)</t>
  </si>
  <si>
    <t xml:space="preserve">KEGG:Spinocerebellar ataxia</t>
  </si>
  <si>
    <t xml:space="preserve">PSMC6, PSMA7, PSMD7, AKT2, PSMD4, PSMD4, PSMC2</t>
  </si>
  <si>
    <t xml:space="preserve">KEGG14</t>
  </si>
  <si>
    <t xml:space="preserve">PSMC6(51), PSMA7(56), PSMD7(52), AKT2(85), PSMD4(53), PSMD4(53), PSMC2(54)</t>
  </si>
  <si>
    <t xml:space="preserve">KEGG:mTOR signaling pathway</t>
  </si>
  <si>
    <t xml:space="preserve">DVL2, DVL2, PSMB1, SEH1L, TTI1, AKT2, RHEB, RPS6KB2, AKT1S1</t>
  </si>
  <si>
    <t xml:space="preserve">KEGG15</t>
  </si>
  <si>
    <t xml:space="preserve">DVL2(83), DVL2(83), PSMB1(84), SEH1L(59), TTI1(92), AKT2(85), RHEB(86), RPS6KB2(87), AKT1S1(93)</t>
  </si>
  <si>
    <t xml:space="preserve">KEGG:Thermogenesis</t>
  </si>
  <si>
    <t xml:space="preserve">RHEB, SMARCD2, SMARCD2, NDUFS8, NDUFS8, COX6A1, COX7A2L, RPS6KB2, AKT1S1</t>
  </si>
  <si>
    <t xml:space="preserve">KEGG16</t>
  </si>
  <si>
    <t xml:space="preserve">RHEB(86), SMARCD2(91), SMARCD2(91), NDUFS8(28), NDUFS8(28), COX6A1(29), COX7A2L(31), RPS6KB2(87), AKT1S1(93)</t>
  </si>
  <si>
    <t xml:space="preserve">KEGG:Prion disease</t>
  </si>
  <si>
    <t xml:space="preserve">HSPA1A</t>
  </si>
  <si>
    <t xml:space="preserve">PSMC6, PSMA7, PSMD7, NDUFS8, NDUFS8, COX6A1, COX7A2L, PSMD4, PSMD4, PSMC2</t>
  </si>
  <si>
    <t xml:space="preserve">KEGG17</t>
  </si>
  <si>
    <t xml:space="preserve">HSPA1A(25)</t>
  </si>
  <si>
    <t xml:space="preserve">PSMC6(51), PSMA7(56), PSMD7(52), NDUFS8(28), NDUFS8(28), COX6A1(29), COX7A2L(31), PSMD4(53), PSMD4(53), PSMC2(54)</t>
  </si>
  <si>
    <t xml:space="preserve">KEGG:Parkinson disease</t>
  </si>
  <si>
    <t xml:space="preserve">PSMC6(51), PSMA7(56), PSMD7(52), NDUFS8(28), NDUFS8(28), COX6A1(29), COX7A2L(31), PSMD4(53), PSMD4(53), PSMC2(54), SLC39A1(9)</t>
  </si>
  <si>
    <t xml:space="preserve">PSMC6, PSMA7, PSMD7, NDUFS8, NDUFS8, COX6A1, COX7A2L, PSMD4, PSMD4, PSMC2, SLC39A10</t>
  </si>
  <si>
    <t xml:space="preserve">KEGG18</t>
  </si>
  <si>
    <t xml:space="preserve">PSMC6(51), PSMA7(56), PSMD7(52), NDUFS8(28), NDUFS8(28), COX6A1(29), COX7A2L(31), PSMD4(53), PSMD4(53), PSMC2(54), SLC39A10(90)</t>
  </si>
  <si>
    <t xml:space="preserve">KEGG:Amyotrophic lateral sclerosis</t>
  </si>
  <si>
    <t xml:space="preserve">SEH1L, PSMC6, PSMA7, PSMD7, NDUFS8, NDUFS8, COX6A1, COX7A2L, NXT1, PSMD4, PSMD4, PSMC2</t>
  </si>
  <si>
    <t xml:space="preserve">KEGG19</t>
  </si>
  <si>
    <t xml:space="preserve">SEH1L(59), PSMC6(51), PSMA7(56), PSMD7(52), NDUFS8(28), NDUFS8(28), COX6A1(29), COX7A2L(31), NXT1(62), PSMD4(53), PSMD4(53), PSMC2(54)</t>
  </si>
  <si>
    <t xml:space="preserve">KEGG:Huntington disease</t>
  </si>
  <si>
    <t xml:space="preserve">AP2S1(8), PSMC6(51), PSMA7(56), PSMD7(52), NDUFS8(28), NDUFS8(28), COX6A1(29), COX7A2L(31), CLTA(81), PSMD4(53), PSMD4(53), PSMC2(54)</t>
  </si>
  <si>
    <t xml:space="preserve">AP2S1, PSMC6, PSMA7, PSMD7, NDUFS8, NDUFS8, COX6A1, COX7A2L, CLTA, PSMD4, PSMD4, PSMC2</t>
  </si>
  <si>
    <t xml:space="preserve">KEGG20</t>
  </si>
  <si>
    <t xml:space="preserve">AP2S1(80), PSMC6(51), PSMA7(56), PSMD7(52), NDUFS8(28), NDUFS8(28), COX6A1(29), COX7A2L(31), CLTA(81), PSMD4(53), PSMD4(53), PSMC2(54)</t>
  </si>
  <si>
    <t xml:space="preserve">KEGG:Nucleocytoplasmic transport</t>
  </si>
  <si>
    <t xml:space="preserve">KPNA4</t>
  </si>
  <si>
    <t xml:space="preserve">RNPS1, RNPS1</t>
  </si>
  <si>
    <t xml:space="preserve">SEH1L, THOC6, NXT1</t>
  </si>
  <si>
    <t xml:space="preserve">KEGG21</t>
  </si>
  <si>
    <t xml:space="preserve">KPNA4(67)</t>
  </si>
  <si>
    <t xml:space="preserve">RNPS1(76), RNPS1(76)</t>
  </si>
  <si>
    <t xml:space="preserve">SEH1L(59), THOC6(94), NXT1(62)</t>
  </si>
  <si>
    <t xml:space="preserve">KEGG:Nicotinate and nicotinamide metabolism</t>
  </si>
  <si>
    <t xml:space="preserve">NADK2</t>
  </si>
  <si>
    <t xml:space="preserve">NADSYN1</t>
  </si>
  <si>
    <t xml:space="preserve">NT5C</t>
  </si>
  <si>
    <t xml:space="preserve">KEGG22</t>
  </si>
  <si>
    <t xml:space="preserve">NADK2(68)</t>
  </si>
  <si>
    <t xml:space="preserve">NADSYN1(77)</t>
  </si>
  <si>
    <t xml:space="preserve">NT5C(95)</t>
  </si>
  <si>
    <t xml:space="preserve">KEGG:RNA degradation</t>
  </si>
  <si>
    <t xml:space="preserve">DHX36</t>
  </si>
  <si>
    <t xml:space="preserve">CNOT3, CNOT9</t>
  </si>
  <si>
    <t xml:space="preserve">KEGG23</t>
  </si>
  <si>
    <t xml:space="preserve">DHX36(6)</t>
  </si>
  <si>
    <t xml:space="preserve">CNOT3(96), CNOT9(97)</t>
  </si>
  <si>
    <t xml:space="preserve">KEGG:Steroid biosynthesis</t>
  </si>
  <si>
    <t xml:space="preserve">NSDHL</t>
  </si>
  <si>
    <t xml:space="preserve">LBR</t>
  </si>
  <si>
    <t xml:space="preserve">KEGG24</t>
  </si>
  <si>
    <t xml:space="preserve">NSDHL(69)</t>
  </si>
  <si>
    <t xml:space="preserve">LBR(64)</t>
  </si>
  <si>
    <t xml:space="preserve">KEGG:MicroRNAs in cancer</t>
  </si>
  <si>
    <t xml:space="preserve">CDC25B</t>
  </si>
  <si>
    <t xml:space="preserve">KEGG25</t>
  </si>
  <si>
    <t xml:space="preserve">CDC25B(98)</t>
  </si>
  <si>
    <t xml:space="preserve">KEGG:Salmonella infection</t>
  </si>
  <si>
    <t xml:space="preserve">KEGG26</t>
  </si>
  <si>
    <t xml:space="preserve">KEGG:Virion - Adenovirus</t>
  </si>
  <si>
    <t xml:space="preserve">CXADR(7)</t>
  </si>
  <si>
    <t xml:space="preserve">CXADR</t>
  </si>
  <si>
    <t xml:space="preserve">KEGG27</t>
  </si>
  <si>
    <t xml:space="preserve">CXADR(70)</t>
  </si>
  <si>
    <t xml:space="preserve">KEGG:Viral myocarditis</t>
  </si>
  <si>
    <t xml:space="preserve">KEGG28</t>
  </si>
  <si>
    <t xml:space="preserve">KEGG:PPAR signaling pathway</t>
  </si>
  <si>
    <t xml:space="preserve">FABP7</t>
  </si>
  <si>
    <t xml:space="preserve">KEGG29</t>
  </si>
  <si>
    <t xml:space="preserve">FABP7(71)</t>
  </si>
  <si>
    <t xml:space="preserve">KEGG:RIG-I-like receptor signaling pathway</t>
  </si>
  <si>
    <t xml:space="preserve">TKFC</t>
  </si>
  <si>
    <t xml:space="preserve">KEGG30</t>
  </si>
  <si>
    <t xml:space="preserve">TKFC(72)</t>
  </si>
  <si>
    <t xml:space="preserve">Reactome:Transport to the Golgi and subsequent modification</t>
  </si>
  <si>
    <t xml:space="preserve">ARF5(78), FUT8(17), TMED2(18), B4GALT3(19)</t>
  </si>
  <si>
    <t xml:space="preserve">COPB2</t>
  </si>
  <si>
    <t xml:space="preserve">ARF5, FUT8, TMED2, B4GALT3</t>
  </si>
  <si>
    <t xml:space="preserve">Reactome1</t>
  </si>
  <si>
    <t xml:space="preserve">COPB2(99)</t>
  </si>
  <si>
    <t xml:space="preserve">ARF5(78), FUT8(107), TMED2(108), B4GALT3(109)</t>
  </si>
  <si>
    <t xml:space="preserve">Reactome:Signaling by PDGF</t>
  </si>
  <si>
    <t xml:space="preserve">GRB7</t>
  </si>
  <si>
    <t xml:space="preserve">SRC</t>
  </si>
  <si>
    <t xml:space="preserve">Reactome2</t>
  </si>
  <si>
    <t xml:space="preserve">GRB7(5)</t>
  </si>
  <si>
    <t xml:space="preserve">SRC(21)</t>
  </si>
  <si>
    <t xml:space="preserve">Reactome:Signaling by SCF-KIT</t>
  </si>
  <si>
    <t xml:space="preserve">Reactome3</t>
  </si>
  <si>
    <t xml:space="preserve">Reactome:Synthesis of substrates in N-glycan biosythesis</t>
  </si>
  <si>
    <t xml:space="preserve">NPL(1)</t>
  </si>
  <si>
    <t xml:space="preserve">SRD5A3(11)</t>
  </si>
  <si>
    <t xml:space="preserve">NPL</t>
  </si>
  <si>
    <t xml:space="preserve">SRD5A3</t>
  </si>
  <si>
    <t xml:space="preserve">Reactome4</t>
  </si>
  <si>
    <t xml:space="preserve">NPL(100)</t>
  </si>
  <si>
    <t xml:space="preserve">SRD5A3(110)</t>
  </si>
  <si>
    <t xml:space="preserve">Reactome:Triglyceride metabolism</t>
  </si>
  <si>
    <t xml:space="preserve">Reactome5</t>
  </si>
  <si>
    <t xml:space="preserve">Reactome:Tie2 Signaling</t>
  </si>
  <si>
    <t xml:space="preserve">Reactome6</t>
  </si>
  <si>
    <t xml:space="preserve">Reactome:Triglyceride catabolism</t>
  </si>
  <si>
    <t xml:space="preserve">Reactome7</t>
  </si>
  <si>
    <t xml:space="preserve">Reactome:Cell surface interactions at the vascular wall</t>
  </si>
  <si>
    <t xml:space="preserve">GRB7(5), CXADR(7)</t>
  </si>
  <si>
    <t xml:space="preserve">GRB7, CXADR</t>
  </si>
  <si>
    <t xml:space="preserve">EPCAM, SLC16A3</t>
  </si>
  <si>
    <t xml:space="preserve">Reactome8</t>
  </si>
  <si>
    <t xml:space="preserve">GRB7(5), CXADR(70)</t>
  </si>
  <si>
    <t xml:space="preserve">EPCAM(111), SLC16A3(63)</t>
  </si>
  <si>
    <t xml:space="preserve">Reactome:Asparagine N-linked glycosylation</t>
  </si>
  <si>
    <t xml:space="preserve">NPL(1), COPB2(99)</t>
  </si>
  <si>
    <t xml:space="preserve">ARF5(78), FUT8(17), TMED2(18), SRD5A3(11), B4GALT3(19)</t>
  </si>
  <si>
    <t xml:space="preserve">NPL, COPB2</t>
  </si>
  <si>
    <t xml:space="preserve">MOGS, RPN2</t>
  </si>
  <si>
    <t xml:space="preserve">ARF5, FUT8, TMED2, SRD5A3, B4GALT3</t>
  </si>
  <si>
    <t xml:space="preserve">Reactome9</t>
  </si>
  <si>
    <t xml:space="preserve">NPL(100), COPB2(99)</t>
  </si>
  <si>
    <t xml:space="preserve">MOGS(73), RPN2(74)</t>
  </si>
  <si>
    <t xml:space="preserve">ARF5(78), FUT8(107), TMED2(108), SRD5A3(110), B4GALT3(109)</t>
  </si>
  <si>
    <t xml:space="preserve">Reactome:Neutrophil degranulation</t>
  </si>
  <si>
    <t xml:space="preserve">ADAM8, HSPA1A</t>
  </si>
  <si>
    <t xml:space="preserve">CAPN1, DERA, PSMD7, QPCT, IDH1, CCT8, CCT8, CDA, PSMC2</t>
  </si>
  <si>
    <t xml:space="preserve">Reactome10</t>
  </si>
  <si>
    <t xml:space="preserve">ADAM8(18), HSPA1A(25)</t>
  </si>
  <si>
    <t xml:space="preserve">CAPN1(55), DERA(112), PSMD7(52), QPCT(113), IDH1(114), CCT8(115), CCT8(115), CDA(116), PSMC2(54)</t>
  </si>
  <si>
    <t xml:space="preserve">Reactome:Cellular response to chemical stress</t>
  </si>
  <si>
    <t xml:space="preserve">PRKCI</t>
  </si>
  <si>
    <t xml:space="preserve">PSMC6, PSMA7, HM13, PSMD7, AKT2, COX6A1, COX7A2L, IDH1, PSMD4, PSMD4, PSMC2, NUDT2</t>
  </si>
  <si>
    <t xml:space="preserve">Reactome11</t>
  </si>
  <si>
    <t xml:space="preserve">PRKCI(12)</t>
  </si>
  <si>
    <t xml:space="preserve">PSMC6(51), PSMA7(56), HM13(117), PSMD7(52), AKT2(85), COX6A1(29), COX7A2L(31), IDH1(114), PSMD4(53), PSMD4(53), PSMC2(54), NUDT2(46)</t>
  </si>
  <si>
    <t xml:space="preserve">Reactome:Intracellular signaling by second messengers</t>
  </si>
  <si>
    <t xml:space="preserve">MTA3, MTA3, PSMC6, PSMA7, PSMD7, AKT2, RHEB, RNF2, PSMD4, PSMD4, PSMC2, RPS6KB2, AKT1S1</t>
  </si>
  <si>
    <t xml:space="preserve">Reactome12</t>
  </si>
  <si>
    <t xml:space="preserve">MTA3(118), MTA3(118), PSMC6(51), PSMA7(56), PSMD7(52), AKT2(85), RHEB(86), RNF2(119), PSMD4(53), PSMD4(53), PSMC2(54), RPS6KB2(87), AKT1S1(93)</t>
  </si>
  <si>
    <t xml:space="preserve">Reactome:PIP3 activates AKT signaling</t>
  </si>
  <si>
    <t xml:space="preserve">Reactome13</t>
  </si>
  <si>
    <t xml:space="preserve">Reactome:Signaling by WNT</t>
  </si>
  <si>
    <t xml:space="preserve">DVL2(83), DVL2(83), PSMB1(84), AP2S1(8), PSMC6(51), PSMA7(56), PSMD7(52), AKT2(85), BCL9(12), CLTA(81), PSMD4(53), PSMD4(53), PSMC2(54)</t>
  </si>
  <si>
    <t xml:space="preserve">DVL2, DVL2, PSMB1, AP2S1, PSMC6, PSMA7, PSMD7, AKT2, BCL9, CLTA, PSMD4, PSMD4, PSMC2</t>
  </si>
  <si>
    <t xml:space="preserve">Reactome14</t>
  </si>
  <si>
    <t xml:space="preserve">DVL2(83), DVL2(83), PSMB1(84), AP2S1(80), PSMC6(51), PSMA7(56), PSMD7(52), AKT2(85), BCL9(120), CLTA(81), PSMD4(53), PSMD4(53), PSMC2(54)</t>
  </si>
  <si>
    <t xml:space="preserve">Reactome:HIV Infection</t>
  </si>
  <si>
    <t xml:space="preserve">VTA1(79), AP2S1(8), SEH1L(59), PSMC6(51), PSMA7(56), PSMD7(52), ELOC(121), ELOC(121), PSMD4(53), PSMD4(53), PSMC2(54), NELFA(122)</t>
  </si>
  <si>
    <t xml:space="preserve">VTA1, AP2S1, SEH1L, PSMC6, PSMA7, PSMD7, ELOC, ELOC, PSMD4, PSMD4, PSMC2, NELFA</t>
  </si>
  <si>
    <t xml:space="preserve">Reactome15</t>
  </si>
  <si>
    <t xml:space="preserve">VTA1(79), AP2S1(80), SEH1L(59), PSMC6(51), PSMA7(56), PSMD7(52), ELOC(121), ELOC(121), PSMD4(53), PSMD4(53), PSMC2(54), NELFA(122)</t>
  </si>
  <si>
    <t xml:space="preserve">Reactome:TCF dependent signaling in response to WNT</t>
  </si>
  <si>
    <t xml:space="preserve">DVL2(83), DVL2(83), PSMB1(84), PSMC6(51), PSMA7(56), PSMD7(52), AKT2(85), BCL9(12), PSMD4(53), PSMD4(53), PSMC2(54)</t>
  </si>
  <si>
    <t xml:space="preserve">DVL2, DVL2, PSMB1, PSMC6, PSMA7, PSMD7, AKT2, BCL9, PSMD4, PSMD4, PSMC2</t>
  </si>
  <si>
    <t xml:space="preserve">Reactome16</t>
  </si>
  <si>
    <t xml:space="preserve">DVL2(83), DVL2(83), PSMB1(84), PSMC6(51), PSMA7(56), PSMD7(52), AKT2(85), BCL9(120), PSMD4(53), PSMD4(53), PSMC2(54)</t>
  </si>
  <si>
    <t xml:space="preserve">Reactome:PCP/CE pathway</t>
  </si>
  <si>
    <t xml:space="preserve">DVL2(83), DVL2(83), PSMB1(84), AP2S1(8), PSMC6(51), PSMA7(56), PSMD7(52), CLTA(81), PSMD4(53), PSMD4(53), PSMC2(54)</t>
  </si>
  <si>
    <t xml:space="preserve">DVL2, DVL2, PSMB1, AP2S1, PSMC6, PSMA7, PSMD7, CLTA, PSMD4, PSMD4, PSMC2</t>
  </si>
  <si>
    <t xml:space="preserve">Reactome17</t>
  </si>
  <si>
    <t xml:space="preserve">DVL2(83), DVL2(83), PSMB1(84), AP2S1(80), PSMC6(51), PSMA7(56), PSMD7(52), CLTA(81), PSMD4(53), PSMD4(53), PSMC2(54)</t>
  </si>
  <si>
    <t xml:space="preserve">Reactome:PTEN Regulation</t>
  </si>
  <si>
    <t xml:space="preserve">MTA3, MTA3, PSMC6, PSMA7, PSMD7, AKT2, RHEB, RNF2, PSMD4, PSMD4, PSMC2</t>
  </si>
  <si>
    <t xml:space="preserve">Reactome18</t>
  </si>
  <si>
    <t xml:space="preserve">MTA3(118), MTA3(118), PSMC6(51), PSMA7(56), PSMD7(52), AKT2(85), RHEB(86), RNF2(119), PSMD4(53), PSMD4(53), PSMC2(54)</t>
  </si>
  <si>
    <t xml:space="preserve">Reactome:SARS-CoV Infections</t>
  </si>
  <si>
    <t xml:space="preserve">MOGS(73), RPN2(74), ANO1(11), ANO9(12)</t>
  </si>
  <si>
    <t xml:space="preserve">FUT8(17), AP2S1(8), MTA3(118), MTA3(118), RPS5(48), SEH1L(59), PSMC6(51), RPS16(49), AKT2(85), PTGES3(123), BRMS1(124), BRMS1(124), BRMS1(124)</t>
  </si>
  <si>
    <t xml:space="preserve">MOGS, RPN2, ANO1, ANO9</t>
  </si>
  <si>
    <t xml:space="preserve">FUT8, AP2S1, MTA3, MTA3, RPS5, SEH1L, PSMC6, RPS16, AKT2, PTGES3, BRMS1, BRMS1, BRMS1</t>
  </si>
  <si>
    <t xml:space="preserve">Reactome19</t>
  </si>
  <si>
    <t xml:space="preserve">MOGS(73), RPN2(74), ANO1(101), ANO9(102)</t>
  </si>
  <si>
    <t xml:space="preserve">FUT8(107), AP2S1(80), MTA3(118), MTA3(118), RPS5(48), SEH1L(59), PSMC6(51), RPS16(49), AKT2(85), PTGES3(123), BRMS1(124), BRMS1(124), BRMS1(124)</t>
  </si>
  <si>
    <t xml:space="preserve">Reactome:Signaling by ROBO receptors</t>
  </si>
  <si>
    <t xml:space="preserve">RPLP1, ROBO1, SRC, RNPS1, RNPS1</t>
  </si>
  <si>
    <t xml:space="preserve">RPS5, PSMC6, PSMA7, PSMD7, RPS16, ELOC, ELOC, PSMD4, PSMD4, PSMC2</t>
  </si>
  <si>
    <t xml:space="preserve">Reactome20</t>
  </si>
  <si>
    <t xml:space="preserve">RPLP1(24), ROBO1(13), SRC(21), RNPS1(76), RNPS1(76)</t>
  </si>
  <si>
    <t xml:space="preserve">RPS5(48), PSMC6(51), PSMA7(56), PSMD7(52), RPS16(49), ELOC(121), ELOC(121), PSMD4(53), PSMD4(53), PSMC2(54)</t>
  </si>
  <si>
    <t xml:space="preserve">Reactome:Regulation of expression of SLITs and ROBOs</t>
  </si>
  <si>
    <t xml:space="preserve">RPLP1, ROBO1, RNPS1, RNPS1</t>
  </si>
  <si>
    <t xml:space="preserve">Reactome21</t>
  </si>
  <si>
    <t xml:space="preserve">RPLP1(24), ROBO1(13), RNPS1(76), RNPS1(76)</t>
  </si>
  <si>
    <t xml:space="preserve">Reactome:Translation</t>
  </si>
  <si>
    <t xml:space="preserve">MRPL19(13), RPN2(74), AARS2(14), RPLP1(24)</t>
  </si>
  <si>
    <t xml:space="preserve">RPS5(48), RPS16(49), MRPL18(3), MRPS7(33), SRP9(125), MRPL17(34), TRMT112(126), MRPL48(37), GADD45GIP1(38), MRPS23(39), MRPS16(49)(4), MRPL4(41)</t>
  </si>
  <si>
    <t xml:space="preserve">MRPL19, RPN2, AARS2, RPLP1</t>
  </si>
  <si>
    <t xml:space="preserve">RPS5, RPS16, MRPL18, MRPS7, SRP9, MRPL17, TRMT112, MRPL48, GADD45GIP1, MRPS23, MRPS16, MRPL40</t>
  </si>
  <si>
    <t xml:space="preserve">Reactome22</t>
  </si>
  <si>
    <t xml:space="preserve">MRPL19(103), RPN2(74), AARS2(104), RPLP1(24)</t>
  </si>
  <si>
    <t xml:space="preserve">RPS5(48), RPS16(49), MRPL18(30), MRPS7(33), SRP9(125), MRPL17(34), TRMT112(126), MRPL48(37), GADD45GIP1(38), MRPS23(39), MRPS16(49)(40), MRPL40(41)</t>
  </si>
  <si>
    <t xml:space="preserve">Reactome:SARS-CoV-2 Infection</t>
  </si>
  <si>
    <t xml:space="preserve">FUT8(17), RPS5(48), SEH1L(59), RPS16(49), AKT2(85)</t>
  </si>
  <si>
    <t xml:space="preserve">FUT8, RPS5, SEH1L, RPS16, AKT2</t>
  </si>
  <si>
    <t xml:space="preserve">Reactome23</t>
  </si>
  <si>
    <t xml:space="preserve">FUT8(107), RPS5(48), SEH1L(59), RPS16(49), AKT2(85)</t>
  </si>
  <si>
    <t xml:space="preserve">Reactome:Extracellular matrix organization</t>
  </si>
  <si>
    <t xml:space="preserve">ADAMTS2(15), COL12A1(16), COL12A1(16), LAMA5(17), ADAM8(18)</t>
  </si>
  <si>
    <t xml:space="preserve">ADAMTS2, COL12A1, COL12A1, LAMA5, ADAM8</t>
  </si>
  <si>
    <t xml:space="preserve">CAPN1</t>
  </si>
  <si>
    <t xml:space="preserve">Reactome24</t>
  </si>
  <si>
    <t xml:space="preserve">ADAMTS2(105), COL12A1(106), COL12A1(106), LAMA5(17), ADAM8(18)</t>
  </si>
  <si>
    <t xml:space="preserve">CAPN1(55)</t>
  </si>
  <si>
    <t xml:space="preserve">Reactome:Degradation of the extracellular matrix</t>
  </si>
  <si>
    <t xml:space="preserve">COL12A1(16), COL12A1(16), LAMA5(17), ADAM8(18)</t>
  </si>
  <si>
    <t xml:space="preserve">COL12A1, COL12A1, LAMA5, ADAM8</t>
  </si>
  <si>
    <t xml:space="preserve">Reactome25</t>
  </si>
  <si>
    <t xml:space="preserve">COL12A1(106), COL12A1(106), LAMA5(17), ADAM8(18)</t>
  </si>
  <si>
    <t xml:space="preserve">Reactome:Late SARS-CoV-2 Infection Events</t>
  </si>
  <si>
    <t xml:space="preserve">FUT8(17)</t>
  </si>
  <si>
    <t xml:space="preserve">FUT8</t>
  </si>
  <si>
    <t xml:space="preserve">Reactome26</t>
  </si>
  <si>
    <t xml:space="preserve">FUT8(107)</t>
  </si>
  <si>
    <t xml:space="preserve">Reactome:EPH-ephrin mediated repulsion of cells</t>
  </si>
  <si>
    <t xml:space="preserve">AP2S1(8), CLTA(81)</t>
  </si>
  <si>
    <t xml:space="preserve">EFNB1, EPHB6, EPHA4, SRC</t>
  </si>
  <si>
    <t xml:space="preserve">AP2S1, CLTA</t>
  </si>
  <si>
    <t xml:space="preserve">Reactome27</t>
  </si>
  <si>
    <t xml:space="preserve">EFNB1(15), EPHB6(16), EPHA4(8), SRC(21)</t>
  </si>
  <si>
    <t xml:space="preserve">AP2S1(80), CLTA(81)</t>
  </si>
  <si>
    <t xml:space="preserve">Reactome:EPH-Ephrin signaling</t>
  </si>
  <si>
    <t xml:space="preserve">Reactome28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</si>
</sst>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D4D4D"/>
        <bgColor rgb="FF666699"/>
      </patternFill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D4D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16" activeCellId="0" sqref="F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2.41"/>
    <col collapsed="false" customWidth="true" hidden="false" outlineLevel="0" max="3" min="2" style="2" width="6.29"/>
    <col collapsed="false" customWidth="true" hidden="false" outlineLevel="0" max="4" min="4" style="2" width="14.98"/>
    <col collapsed="false" customWidth="true" hidden="false" outlineLevel="0" max="5" min="5" style="2" width="12.5"/>
    <col collapsed="false" customWidth="true" hidden="false" outlineLevel="0" max="6" min="6" style="2" width="46.92"/>
    <col collapsed="false" customWidth="true" hidden="false" outlineLevel="0" max="7" min="7" style="2" width="6.29"/>
    <col collapsed="false" customWidth="true" hidden="false" outlineLevel="0" max="8" min="8" style="2" width="51.25"/>
    <col collapsed="false" customWidth="true" hidden="false" outlineLevel="0" max="9" min="9" style="3" width="14.08"/>
    <col collapsed="false" customWidth="true" hidden="false" outlineLevel="0" max="10" min="10" style="3" width="61.87"/>
    <col collapsed="false" customWidth="true" hidden="false" outlineLevel="0" max="11" min="11" style="3" width="138.98"/>
    <col collapsed="false" customWidth="true" hidden="false" outlineLevel="0" max="14" min="12" style="3" width="16.71"/>
    <col collapsed="false" customWidth="true" hidden="false" outlineLevel="0" max="15" min="15" style="3" width="6.29"/>
    <col collapsed="false" customWidth="true" hidden="false" outlineLevel="0" max="16" min="16" style="3" width="17.4"/>
    <col collapsed="false" customWidth="true" hidden="false" outlineLevel="0" max="17" min="17" style="3" width="84.38"/>
    <col collapsed="false" customWidth="true" hidden="false" outlineLevel="0" max="18" min="18" style="3" width="194"/>
    <col collapsed="false" customWidth="false" hidden="false" outlineLevel="0" max="1022" min="19" style="3" width="11.52"/>
  </cols>
  <sheetData>
    <row r="1" s="6" customFormat="true" ht="12.8" hidden="false" customHeight="true" outlineLevel="0" collapsed="false">
      <c r="A1" s="4"/>
      <c r="B1" s="4"/>
      <c r="C1" s="4" t="s">
        <v>0</v>
      </c>
      <c r="D1" s="4"/>
      <c r="E1" s="4" t="s">
        <v>1</v>
      </c>
      <c r="F1" s="4"/>
      <c r="G1" s="4" t="s">
        <v>2</v>
      </c>
      <c r="H1" s="4"/>
      <c r="I1" s="5"/>
      <c r="J1" s="5"/>
      <c r="AMI1" s="0"/>
      <c r="AMJ1" s="0"/>
    </row>
    <row r="2" customFormat="false" ht="12.8" hidden="false" customHeight="false" outlineLevel="0" collapsed="false">
      <c r="A2" s="1" t="s">
        <v>3</v>
      </c>
      <c r="B2" s="2" t="s">
        <v>4</v>
      </c>
      <c r="C2" s="2" t="s">
        <v>5</v>
      </c>
      <c r="D2" s="2" t="s">
        <v>6</v>
      </c>
      <c r="E2" s="2" t="s">
        <v>5</v>
      </c>
      <c r="F2" s="2" t="s">
        <v>6</v>
      </c>
      <c r="G2" s="2" t="s">
        <v>5</v>
      </c>
      <c r="H2" s="2" t="s">
        <v>6</v>
      </c>
      <c r="I2" s="7" t="s">
        <v>7</v>
      </c>
      <c r="J2" s="7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</row>
    <row r="3" customFormat="false" ht="23.85" hidden="false" customHeight="false" outlineLevel="0" collapsed="false">
      <c r="A3" s="1" t="s">
        <v>17</v>
      </c>
      <c r="B3" s="8" t="str">
        <f aca="false">O3</f>
        <v>GO1</v>
      </c>
      <c r="C3" s="2" t="n">
        <v>0</v>
      </c>
      <c r="E3" s="2" t="n">
        <v>8</v>
      </c>
      <c r="F3" s="2" t="s">
        <v>18</v>
      </c>
      <c r="G3" s="2" t="n">
        <v>0</v>
      </c>
      <c r="I3" s="7"/>
      <c r="J3" s="7" t="s">
        <v>19</v>
      </c>
      <c r="L3" s="3" t="n">
        <v>0</v>
      </c>
      <c r="M3" s="3" t="n">
        <v>12.9032258064516</v>
      </c>
      <c r="N3" s="3" t="n">
        <v>0</v>
      </c>
      <c r="O3" s="3" t="s">
        <v>20</v>
      </c>
      <c r="Q3" s="3" t="s">
        <v>21</v>
      </c>
    </row>
    <row r="4" customFormat="false" ht="23.85" hidden="false" customHeight="false" outlineLevel="0" collapsed="false">
      <c r="A4" s="1" t="s">
        <v>22</v>
      </c>
      <c r="B4" s="8" t="str">
        <f aca="false">O4</f>
        <v>GO2</v>
      </c>
      <c r="C4" s="2" t="n">
        <v>0</v>
      </c>
      <c r="E4" s="2" t="n">
        <v>8</v>
      </c>
      <c r="F4" s="2" t="s">
        <v>23</v>
      </c>
      <c r="G4" s="2" t="n">
        <v>0</v>
      </c>
      <c r="I4" s="7"/>
      <c r="J4" s="7" t="s">
        <v>24</v>
      </c>
      <c r="L4" s="3" t="n">
        <v>0</v>
      </c>
      <c r="M4" s="3" t="n">
        <v>12.9032258064516</v>
      </c>
      <c r="N4" s="3" t="n">
        <v>0</v>
      </c>
      <c r="O4" s="3" t="s">
        <v>25</v>
      </c>
      <c r="Q4" s="3" t="s">
        <v>26</v>
      </c>
    </row>
    <row r="5" customFormat="false" ht="23.85" hidden="false" customHeight="false" outlineLevel="0" collapsed="false">
      <c r="A5" s="1" t="s">
        <v>27</v>
      </c>
      <c r="B5" s="8" t="str">
        <f aca="false">O5</f>
        <v>GO3</v>
      </c>
      <c r="C5" s="2" t="n">
        <v>0</v>
      </c>
      <c r="E5" s="2" t="n">
        <v>8</v>
      </c>
      <c r="F5" s="8" t="str">
        <f aca="false">Q5</f>
        <v>EFNB1(15), HIF1A(7), EPHA4(8), LAMA5(17), ADAM8(18), ROBO1(13), HNRNPAB(19), HNRNPAB(19)</v>
      </c>
      <c r="G5" s="2" t="n">
        <v>0</v>
      </c>
      <c r="I5" s="7"/>
      <c r="J5" s="7" t="s">
        <v>28</v>
      </c>
      <c r="L5" s="3" t="n">
        <v>0</v>
      </c>
      <c r="M5" s="3" t="n">
        <v>12.9032258064516</v>
      </c>
      <c r="N5" s="3" t="n">
        <v>0</v>
      </c>
      <c r="O5" s="3" t="s">
        <v>29</v>
      </c>
      <c r="Q5" s="3" t="s">
        <v>30</v>
      </c>
    </row>
    <row r="6" customFormat="false" ht="12.8" hidden="false" customHeight="false" outlineLevel="0" collapsed="false">
      <c r="A6" s="1" t="s">
        <v>31</v>
      </c>
      <c r="B6" s="8" t="str">
        <f aca="false">O6</f>
        <v>GO4</v>
      </c>
      <c r="C6" s="2" t="n">
        <v>0</v>
      </c>
      <c r="E6" s="2" t="n">
        <v>5</v>
      </c>
      <c r="F6" s="2" t="s">
        <v>32</v>
      </c>
      <c r="G6" s="2" t="n">
        <v>0</v>
      </c>
      <c r="I6" s="7"/>
      <c r="J6" s="7" t="s">
        <v>33</v>
      </c>
      <c r="L6" s="3" t="n">
        <v>0</v>
      </c>
      <c r="M6" s="3" t="n">
        <v>8.06451612903226</v>
      </c>
      <c r="N6" s="3" t="n">
        <v>0</v>
      </c>
      <c r="O6" s="3" t="s">
        <v>34</v>
      </c>
      <c r="Q6" s="3" t="s">
        <v>35</v>
      </c>
    </row>
    <row r="7" customFormat="false" ht="12.8" hidden="false" customHeight="false" outlineLevel="0" collapsed="false">
      <c r="A7" s="1" t="s">
        <v>36</v>
      </c>
      <c r="B7" s="8" t="str">
        <f aca="false">O7</f>
        <v>GO5</v>
      </c>
      <c r="C7" s="2" t="n">
        <v>0</v>
      </c>
      <c r="E7" s="2" t="n">
        <v>5</v>
      </c>
      <c r="F7" s="2" t="s">
        <v>32</v>
      </c>
      <c r="G7" s="2" t="n">
        <v>0</v>
      </c>
      <c r="I7" s="7"/>
      <c r="J7" s="7" t="s">
        <v>33</v>
      </c>
      <c r="L7" s="3" t="n">
        <v>0</v>
      </c>
      <c r="M7" s="3" t="n">
        <v>8.06451612903226</v>
      </c>
      <c r="N7" s="3" t="n">
        <v>0</v>
      </c>
      <c r="O7" s="3" t="s">
        <v>37</v>
      </c>
      <c r="Q7" s="3" t="s">
        <v>35</v>
      </c>
    </row>
    <row r="8" customFormat="false" ht="12.8" hidden="false" customHeight="false" outlineLevel="0" collapsed="false">
      <c r="A8" s="1" t="s">
        <v>38</v>
      </c>
      <c r="B8" s="8" t="str">
        <f aca="false">O8</f>
        <v>GO6</v>
      </c>
      <c r="C8" s="2" t="n">
        <v>0</v>
      </c>
      <c r="E8" s="2" t="n">
        <v>5</v>
      </c>
      <c r="F8" s="8" t="str">
        <f aca="false">Q8</f>
        <v>VRK2(22), HIF1A(7), NR1D1(9), PRKCI(12), SRC(21)</v>
      </c>
      <c r="G8" s="2" t="n">
        <v>0</v>
      </c>
      <c r="I8" s="7"/>
      <c r="J8" s="7" t="s">
        <v>39</v>
      </c>
      <c r="L8" s="3" t="n">
        <v>0</v>
      </c>
      <c r="M8" s="3" t="n">
        <v>8.06451612903226</v>
      </c>
      <c r="N8" s="3" t="n">
        <v>0</v>
      </c>
      <c r="O8" s="3" t="s">
        <v>40</v>
      </c>
      <c r="Q8" s="3" t="s">
        <v>41</v>
      </c>
    </row>
    <row r="9" customFormat="false" ht="23.85" hidden="false" customHeight="false" outlineLevel="0" collapsed="false">
      <c r="A9" s="1" t="s">
        <v>42</v>
      </c>
      <c r="B9" s="8" t="str">
        <f aca="false">O9</f>
        <v>GO7</v>
      </c>
      <c r="C9" s="2" t="n">
        <v>0</v>
      </c>
      <c r="E9" s="2" t="n">
        <v>7</v>
      </c>
      <c r="F9" s="8" t="str">
        <f aca="false">Q9</f>
        <v>EFNB1(15), HIF1A(7), EPHA4(8), LAMA5(17), ADAM8(18), HNRNPAB(19), HNRNPAB(19)</v>
      </c>
      <c r="G9" s="2" t="n">
        <v>0</v>
      </c>
      <c r="I9" s="7"/>
      <c r="J9" s="7" t="s">
        <v>43</v>
      </c>
      <c r="L9" s="3" t="n">
        <v>0</v>
      </c>
      <c r="M9" s="3" t="n">
        <v>11.2903225806452</v>
      </c>
      <c r="N9" s="3" t="n">
        <v>0</v>
      </c>
      <c r="O9" s="3" t="s">
        <v>44</v>
      </c>
      <c r="Q9" s="3" t="s">
        <v>45</v>
      </c>
    </row>
    <row r="10" customFormat="false" ht="23.85" hidden="false" customHeight="false" outlineLevel="0" collapsed="false">
      <c r="A10" s="1" t="s">
        <v>46</v>
      </c>
      <c r="B10" s="8" t="str">
        <f aca="false">O10</f>
        <v>GO8</v>
      </c>
      <c r="C10" s="2" t="n">
        <v>0</v>
      </c>
      <c r="E10" s="2" t="n">
        <v>6</v>
      </c>
      <c r="F10" s="8" t="str">
        <f aca="false">Q10</f>
        <v>CTTN(14), PPFIA1(23), RPLP1(24), THY1(11), SRC(21), HSPA1A(25)</v>
      </c>
      <c r="G10" s="2" t="n">
        <v>0</v>
      </c>
      <c r="I10" s="7"/>
      <c r="J10" s="7" t="s">
        <v>47</v>
      </c>
      <c r="L10" s="3" t="n">
        <v>0</v>
      </c>
      <c r="M10" s="3" t="n">
        <v>9.67741935483871</v>
      </c>
      <c r="N10" s="3" t="n">
        <v>0</v>
      </c>
      <c r="O10" s="3" t="s">
        <v>48</v>
      </c>
      <c r="Q10" s="3" t="s">
        <v>49</v>
      </c>
    </row>
    <row r="11" customFormat="false" ht="23.85" hidden="false" customHeight="false" outlineLevel="0" collapsed="false">
      <c r="A11" s="1" t="s">
        <v>50</v>
      </c>
      <c r="B11" s="8" t="str">
        <f aca="false">O11</f>
        <v>GO9</v>
      </c>
      <c r="C11" s="2" t="n">
        <v>0</v>
      </c>
      <c r="E11" s="2" t="n">
        <v>6</v>
      </c>
      <c r="F11" s="2" t="s">
        <v>51</v>
      </c>
      <c r="G11" s="2" t="n">
        <v>0</v>
      </c>
      <c r="I11" s="7"/>
      <c r="J11" s="7" t="s">
        <v>52</v>
      </c>
      <c r="L11" s="3" t="n">
        <v>0</v>
      </c>
      <c r="M11" s="3" t="n">
        <v>9.67741935483871</v>
      </c>
      <c r="N11" s="3" t="n">
        <v>0</v>
      </c>
      <c r="O11" s="3" t="s">
        <v>53</v>
      </c>
      <c r="Q11" s="3" t="s">
        <v>54</v>
      </c>
    </row>
    <row r="12" customFormat="false" ht="23.85" hidden="false" customHeight="false" outlineLevel="0" collapsed="false">
      <c r="A12" s="1" t="s">
        <v>55</v>
      </c>
      <c r="B12" s="8" t="str">
        <f aca="false">O12</f>
        <v>GO10</v>
      </c>
      <c r="C12" s="2" t="n">
        <v>0</v>
      </c>
      <c r="E12" s="2" t="n">
        <v>6</v>
      </c>
      <c r="F12" s="8" t="str">
        <f aca="false">Q12</f>
        <v>CTTN(14), PPFIA1(23), RPLP1(24), THY1(11), SRC(21), HSPA1A(25)</v>
      </c>
      <c r="G12" s="2" t="n">
        <v>0</v>
      </c>
      <c r="I12" s="7"/>
      <c r="J12" s="7" t="s">
        <v>47</v>
      </c>
      <c r="L12" s="3" t="n">
        <v>0</v>
      </c>
      <c r="M12" s="3" t="n">
        <v>9.67741935483871</v>
      </c>
      <c r="N12" s="3" t="n">
        <v>0</v>
      </c>
      <c r="O12" s="3" t="s">
        <v>56</v>
      </c>
      <c r="Q12" s="3" t="s">
        <v>49</v>
      </c>
    </row>
    <row r="13" customFormat="false" ht="35.05" hidden="false" customHeight="false" outlineLevel="0" collapsed="false">
      <c r="A13" s="1" t="s">
        <v>57</v>
      </c>
      <c r="B13" s="8" t="str">
        <f aca="false">O13</f>
        <v>GO11</v>
      </c>
      <c r="C13" s="2" t="n">
        <v>0</v>
      </c>
      <c r="E13" s="2" t="n">
        <v>0</v>
      </c>
      <c r="G13" s="2" t="n">
        <v>17</v>
      </c>
      <c r="H13" s="2" t="s">
        <v>58</v>
      </c>
      <c r="I13" s="7"/>
      <c r="J13" s="7"/>
      <c r="K13" s="3" t="s">
        <v>59</v>
      </c>
      <c r="L13" s="3" t="n">
        <v>0</v>
      </c>
      <c r="M13" s="3" t="n">
        <v>0</v>
      </c>
      <c r="N13" s="3" t="n">
        <v>10</v>
      </c>
      <c r="O13" s="3" t="s">
        <v>60</v>
      </c>
      <c r="R13" s="3" t="s">
        <v>61</v>
      </c>
    </row>
    <row r="14" customFormat="false" ht="35.05" hidden="false" customHeight="false" outlineLevel="0" collapsed="false">
      <c r="A14" s="1" t="s">
        <v>62</v>
      </c>
      <c r="B14" s="8" t="str">
        <f aca="false">O14</f>
        <v>GO12</v>
      </c>
      <c r="C14" s="2" t="n">
        <v>0</v>
      </c>
      <c r="E14" s="2" t="n">
        <v>0</v>
      </c>
      <c r="G14" s="2" t="n">
        <v>16</v>
      </c>
      <c r="H14" s="2" t="s">
        <v>63</v>
      </c>
      <c r="I14" s="7"/>
      <c r="J14" s="7"/>
      <c r="K14" s="3" t="s">
        <v>64</v>
      </c>
      <c r="L14" s="3" t="n">
        <v>0</v>
      </c>
      <c r="M14" s="3" t="n">
        <v>0</v>
      </c>
      <c r="N14" s="3" t="n">
        <v>9.41176470588235</v>
      </c>
      <c r="O14" s="3" t="s">
        <v>65</v>
      </c>
      <c r="R14" s="3" t="s">
        <v>66</v>
      </c>
    </row>
    <row r="15" customFormat="false" ht="35.05" hidden="false" customHeight="false" outlineLevel="0" collapsed="false">
      <c r="A15" s="1" t="s">
        <v>67</v>
      </c>
      <c r="B15" s="8" t="str">
        <f aca="false">O15</f>
        <v>GO13</v>
      </c>
      <c r="C15" s="2" t="n">
        <v>0</v>
      </c>
      <c r="E15" s="2" t="n">
        <v>0</v>
      </c>
      <c r="G15" s="2" t="n">
        <v>16</v>
      </c>
      <c r="H15" s="2" t="s">
        <v>68</v>
      </c>
      <c r="I15" s="7"/>
      <c r="J15" s="7"/>
      <c r="K15" s="3" t="s">
        <v>69</v>
      </c>
      <c r="L15" s="3" t="n">
        <v>0</v>
      </c>
      <c r="M15" s="3" t="n">
        <v>0</v>
      </c>
      <c r="N15" s="3" t="n">
        <v>9.41176470588235</v>
      </c>
      <c r="O15" s="3" t="s">
        <v>70</v>
      </c>
      <c r="R15" s="3" t="s">
        <v>71</v>
      </c>
    </row>
    <row r="16" customFormat="false" ht="35.05" hidden="false" customHeight="false" outlineLevel="0" collapsed="false">
      <c r="A16" s="1" t="s">
        <v>72</v>
      </c>
      <c r="B16" s="8" t="str">
        <f aca="false">O16</f>
        <v>GO14</v>
      </c>
      <c r="C16" s="2" t="n">
        <v>0</v>
      </c>
      <c r="E16" s="2" t="n">
        <v>0</v>
      </c>
      <c r="G16" s="2" t="n">
        <v>12</v>
      </c>
      <c r="H16" s="2" t="s">
        <v>73</v>
      </c>
      <c r="I16" s="7"/>
      <c r="J16" s="7"/>
      <c r="K16" s="3" t="s">
        <v>74</v>
      </c>
      <c r="L16" s="3" t="n">
        <v>0</v>
      </c>
      <c r="M16" s="3" t="n">
        <v>0</v>
      </c>
      <c r="N16" s="3" t="n">
        <v>7.05882352941176</v>
      </c>
      <c r="O16" s="3" t="s">
        <v>75</v>
      </c>
      <c r="R16" s="3" t="s">
        <v>76</v>
      </c>
    </row>
    <row r="17" customFormat="false" ht="23.85" hidden="false" customHeight="false" outlineLevel="0" collapsed="false">
      <c r="A17" s="1" t="s">
        <v>77</v>
      </c>
      <c r="B17" s="8" t="str">
        <f aca="false">O17</f>
        <v>GO15</v>
      </c>
      <c r="C17" s="2" t="n">
        <v>0</v>
      </c>
      <c r="E17" s="2" t="n">
        <v>0</v>
      </c>
      <c r="G17" s="2" t="n">
        <v>9</v>
      </c>
      <c r="H17" s="8" t="str">
        <f aca="false">K17</f>
        <v>PSMC6, PSMC6, PSMD7, PSMD4, PSMD4, PSMD4, PSMD4, PSMC2, PSMC2</v>
      </c>
      <c r="I17" s="7"/>
      <c r="J17" s="7"/>
      <c r="K17" s="3" t="s">
        <v>78</v>
      </c>
      <c r="L17" s="3" t="n">
        <v>0</v>
      </c>
      <c r="M17" s="3" t="n">
        <v>0</v>
      </c>
      <c r="N17" s="3" t="n">
        <v>5.29411764705882</v>
      </c>
      <c r="O17" s="3" t="s">
        <v>79</v>
      </c>
      <c r="R17" s="3" t="s">
        <v>80</v>
      </c>
    </row>
    <row r="18" customFormat="false" ht="23.85" hidden="false" customHeight="false" outlineLevel="0" collapsed="false">
      <c r="A18" s="1" t="s">
        <v>81</v>
      </c>
      <c r="B18" s="8" t="str">
        <f aca="false">O18</f>
        <v>GO16</v>
      </c>
      <c r="C18" s="2" t="n">
        <v>0</v>
      </c>
      <c r="E18" s="2" t="n">
        <v>0</v>
      </c>
      <c r="G18" s="2" t="n">
        <v>9</v>
      </c>
      <c r="H18" s="2" t="s">
        <v>82</v>
      </c>
      <c r="I18" s="7"/>
      <c r="J18" s="7"/>
      <c r="K18" s="3" t="s">
        <v>83</v>
      </c>
      <c r="L18" s="3" t="n">
        <v>0</v>
      </c>
      <c r="M18" s="3" t="n">
        <v>0</v>
      </c>
      <c r="N18" s="3" t="n">
        <v>5.29411764705882</v>
      </c>
      <c r="O18" s="3" t="s">
        <v>84</v>
      </c>
      <c r="R18" s="3" t="s">
        <v>85</v>
      </c>
    </row>
    <row r="19" customFormat="false" ht="23.85" hidden="false" customHeight="false" outlineLevel="0" collapsed="false">
      <c r="A19" s="1" t="s">
        <v>86</v>
      </c>
      <c r="B19" s="8" t="str">
        <f aca="false">O19</f>
        <v>GO17</v>
      </c>
      <c r="C19" s="2" t="n">
        <v>0</v>
      </c>
      <c r="E19" s="2" t="n">
        <v>0</v>
      </c>
      <c r="G19" s="2" t="n">
        <v>9</v>
      </c>
      <c r="H19" s="8" t="str">
        <f aca="false">K19</f>
        <v>CAPN1, PSMC6, PSMA7, USP14, PSMD7, TADA1, PSMD4, PSMD4, PSMC2</v>
      </c>
      <c r="I19" s="7"/>
      <c r="J19" s="7"/>
      <c r="K19" s="3" t="s">
        <v>87</v>
      </c>
      <c r="L19" s="3" t="n">
        <v>0</v>
      </c>
      <c r="M19" s="3" t="n">
        <v>0</v>
      </c>
      <c r="N19" s="3" t="n">
        <v>5.29411764705882</v>
      </c>
      <c r="O19" s="3" t="s">
        <v>88</v>
      </c>
      <c r="R19" s="3" t="s">
        <v>89</v>
      </c>
    </row>
    <row r="20" customFormat="false" ht="23.85" hidden="false" customHeight="false" outlineLevel="0" collapsed="false">
      <c r="A20" s="1" t="s">
        <v>90</v>
      </c>
      <c r="B20" s="8" t="str">
        <f aca="false">O20</f>
        <v>GO18</v>
      </c>
      <c r="C20" s="2" t="n">
        <v>0</v>
      </c>
      <c r="E20" s="2" t="n">
        <v>0</v>
      </c>
      <c r="G20" s="2" t="n">
        <v>10</v>
      </c>
      <c r="H20" s="2" t="s">
        <v>91</v>
      </c>
      <c r="I20" s="7"/>
      <c r="J20" s="7"/>
      <c r="K20" s="3" t="s">
        <v>92</v>
      </c>
      <c r="L20" s="3" t="n">
        <v>0</v>
      </c>
      <c r="M20" s="3" t="n">
        <v>0</v>
      </c>
      <c r="N20" s="3" t="n">
        <v>5.88235294117647</v>
      </c>
      <c r="O20" s="3" t="s">
        <v>93</v>
      </c>
      <c r="R20" s="3" t="s">
        <v>94</v>
      </c>
    </row>
    <row r="21" customFormat="false" ht="23.85" hidden="false" customHeight="false" outlineLevel="0" collapsed="false">
      <c r="A21" s="1" t="s">
        <v>95</v>
      </c>
      <c r="B21" s="8" t="str">
        <f aca="false">O21</f>
        <v>GO19</v>
      </c>
      <c r="C21" s="2" t="n">
        <v>0</v>
      </c>
      <c r="E21" s="2" t="n">
        <v>0</v>
      </c>
      <c r="G21" s="2" t="n">
        <v>10</v>
      </c>
      <c r="H21" s="2" t="s">
        <v>96</v>
      </c>
      <c r="I21" s="7"/>
      <c r="J21" s="7"/>
      <c r="K21" s="3" t="s">
        <v>97</v>
      </c>
      <c r="L21" s="3" t="n">
        <v>0</v>
      </c>
      <c r="M21" s="3" t="n">
        <v>0</v>
      </c>
      <c r="N21" s="3" t="n">
        <v>5.88235294117647</v>
      </c>
      <c r="O21" s="3" t="s">
        <v>98</v>
      </c>
      <c r="R21" s="3" t="s">
        <v>99</v>
      </c>
    </row>
    <row r="22" customFormat="false" ht="23.85" hidden="true" customHeight="false" outlineLevel="0" collapsed="false">
      <c r="A22" s="1" t="s">
        <v>100</v>
      </c>
      <c r="B22" s="8" t="str">
        <f aca="false">O22</f>
        <v>GO20</v>
      </c>
      <c r="C22" s="2" t="n">
        <v>0</v>
      </c>
      <c r="E22" s="2" t="n">
        <v>0</v>
      </c>
      <c r="G22" s="2" t="n">
        <v>10</v>
      </c>
      <c r="H22" s="8" t="str">
        <f aca="false">K22</f>
        <v>SEH1L, TMEM147, HTATIP2, PLA2G4A, NXT1, SLC16A3, LBR, MRPS23, THAP7, NOC4L</v>
      </c>
      <c r="K22" s="3" t="s">
        <v>101</v>
      </c>
      <c r="L22" s="3" t="n">
        <v>0</v>
      </c>
      <c r="M22" s="3" t="n">
        <v>0</v>
      </c>
      <c r="N22" s="3" t="n">
        <v>5.88235294117647</v>
      </c>
      <c r="O22" s="3" t="s">
        <v>102</v>
      </c>
      <c r="R22" s="3" t="s">
        <v>103</v>
      </c>
    </row>
    <row r="23" customFormat="false" ht="12.8" hidden="false" customHeight="false" outlineLevel="0" collapsed="false">
      <c r="A23" s="1" t="s">
        <v>104</v>
      </c>
      <c r="B23" s="8" t="str">
        <f aca="false">O23</f>
        <v>GO21</v>
      </c>
      <c r="C23" s="2" t="n">
        <v>1</v>
      </c>
      <c r="D23" s="8" t="str">
        <f aca="false">P23</f>
        <v>IGHA2(1)</v>
      </c>
      <c r="E23" s="2" t="n">
        <v>0</v>
      </c>
      <c r="G23" s="2" t="n">
        <v>0</v>
      </c>
      <c r="I23" s="3" t="s">
        <v>105</v>
      </c>
      <c r="L23" s="3" t="n">
        <v>4.34782608695652</v>
      </c>
      <c r="M23" s="3" t="n">
        <v>0</v>
      </c>
      <c r="N23" s="3" t="n">
        <v>0</v>
      </c>
      <c r="O23" s="3" t="s">
        <v>106</v>
      </c>
      <c r="P23" s="3" t="s">
        <v>107</v>
      </c>
    </row>
    <row r="24" customFormat="false" ht="12.8" hidden="false" customHeight="false" outlineLevel="0" collapsed="false">
      <c r="A24" s="1" t="s">
        <v>108</v>
      </c>
      <c r="B24" s="8" t="str">
        <f aca="false">O24</f>
        <v>GO22</v>
      </c>
      <c r="C24" s="2" t="n">
        <v>1</v>
      </c>
      <c r="D24" s="8" t="str">
        <f aca="false">P24</f>
        <v>IGHA2(1)</v>
      </c>
      <c r="E24" s="2" t="n">
        <v>0</v>
      </c>
      <c r="G24" s="2" t="n">
        <v>0</v>
      </c>
      <c r="I24" s="3" t="s">
        <v>105</v>
      </c>
      <c r="L24" s="3" t="n">
        <v>4.34782608695652</v>
      </c>
      <c r="M24" s="3" t="n">
        <v>0</v>
      </c>
      <c r="N24" s="3" t="n">
        <v>0</v>
      </c>
      <c r="O24" s="3" t="s">
        <v>109</v>
      </c>
      <c r="P24" s="3" t="s">
        <v>107</v>
      </c>
    </row>
    <row r="25" customFormat="false" ht="12.8" hidden="false" customHeight="false" outlineLevel="0" collapsed="false">
      <c r="A25" s="1" t="s">
        <v>110</v>
      </c>
      <c r="B25" s="8" t="str">
        <f aca="false">O25</f>
        <v>GO23</v>
      </c>
      <c r="C25" s="2" t="n">
        <v>1</v>
      </c>
      <c r="D25" s="8" t="str">
        <f aca="false">P25</f>
        <v>IGHA2(1)</v>
      </c>
      <c r="E25" s="2" t="n">
        <v>0</v>
      </c>
      <c r="G25" s="2" t="n">
        <v>0</v>
      </c>
      <c r="I25" s="3" t="s">
        <v>105</v>
      </c>
      <c r="L25" s="3" t="n">
        <v>4.34782608695652</v>
      </c>
      <c r="M25" s="3" t="n">
        <v>0</v>
      </c>
      <c r="N25" s="3" t="n">
        <v>0</v>
      </c>
      <c r="O25" s="3" t="s">
        <v>111</v>
      </c>
      <c r="P25" s="3" t="s">
        <v>107</v>
      </c>
    </row>
    <row r="26" customFormat="false" ht="12.8" hidden="false" customHeight="false" outlineLevel="0" collapsed="false">
      <c r="A26" s="1" t="s">
        <v>112</v>
      </c>
      <c r="B26" s="8" t="str">
        <f aca="false">O26</f>
        <v>GO24</v>
      </c>
      <c r="C26" s="2" t="n">
        <v>1</v>
      </c>
      <c r="D26" s="8" t="str">
        <f aca="false">P26</f>
        <v>LTF(2)</v>
      </c>
      <c r="E26" s="2" t="n">
        <v>0</v>
      </c>
      <c r="G26" s="2" t="n">
        <v>0</v>
      </c>
      <c r="I26" s="3" t="s">
        <v>113</v>
      </c>
      <c r="L26" s="3" t="n">
        <v>4.34782608695652</v>
      </c>
      <c r="M26" s="3" t="n">
        <v>0</v>
      </c>
      <c r="N26" s="3" t="n">
        <v>0</v>
      </c>
      <c r="O26" s="3" t="s">
        <v>114</v>
      </c>
      <c r="P26" s="3" t="s">
        <v>115</v>
      </c>
    </row>
    <row r="27" customFormat="false" ht="12.8" hidden="false" customHeight="false" outlineLevel="0" collapsed="false">
      <c r="A27" s="1" t="s">
        <v>116</v>
      </c>
      <c r="B27" s="8" t="str">
        <f aca="false">O27</f>
        <v>GO25</v>
      </c>
      <c r="C27" s="2" t="n">
        <v>1</v>
      </c>
      <c r="D27" s="8" t="str">
        <f aca="false">P27</f>
        <v>IGHA2(1)</v>
      </c>
      <c r="E27" s="2" t="n">
        <v>0</v>
      </c>
      <c r="G27" s="2" t="n">
        <v>0</v>
      </c>
      <c r="I27" s="3" t="s">
        <v>105</v>
      </c>
      <c r="L27" s="3" t="n">
        <v>4.34782608695652</v>
      </c>
      <c r="M27" s="3" t="n">
        <v>0</v>
      </c>
      <c r="N27" s="3" t="n">
        <v>0</v>
      </c>
      <c r="O27" s="3" t="s">
        <v>117</v>
      </c>
      <c r="P27" s="3" t="s">
        <v>107</v>
      </c>
    </row>
    <row r="28" customFormat="false" ht="12.8" hidden="false" customHeight="false" outlineLevel="0" collapsed="false">
      <c r="A28" s="1" t="s">
        <v>118</v>
      </c>
      <c r="B28" s="8" t="str">
        <f aca="false">O28</f>
        <v>GO26</v>
      </c>
      <c r="C28" s="2" t="n">
        <v>1</v>
      </c>
      <c r="D28" s="8" t="str">
        <f aca="false">P28</f>
        <v>MARCKS(3)</v>
      </c>
      <c r="E28" s="2" t="n">
        <v>0</v>
      </c>
      <c r="G28" s="2" t="n">
        <v>0</v>
      </c>
      <c r="I28" s="3" t="s">
        <v>119</v>
      </c>
      <c r="L28" s="3" t="n">
        <v>4.34782608695652</v>
      </c>
      <c r="M28" s="3" t="n">
        <v>0</v>
      </c>
      <c r="N28" s="3" t="n">
        <v>0</v>
      </c>
      <c r="O28" s="3" t="s">
        <v>120</v>
      </c>
      <c r="P28" s="3" t="s">
        <v>121</v>
      </c>
    </row>
    <row r="29" customFormat="false" ht="12.8" hidden="false" customHeight="false" outlineLevel="0" collapsed="false">
      <c r="A29" s="1" t="s">
        <v>122</v>
      </c>
      <c r="B29" s="8" t="str">
        <f aca="false">O29</f>
        <v>GO27</v>
      </c>
      <c r="C29" s="2" t="n">
        <v>1</v>
      </c>
      <c r="D29" s="8" t="str">
        <f aca="false">P29</f>
        <v>IGHA2(1)</v>
      </c>
      <c r="E29" s="2" t="n">
        <v>0</v>
      </c>
      <c r="G29" s="2" t="n">
        <v>0</v>
      </c>
      <c r="I29" s="3" t="s">
        <v>105</v>
      </c>
      <c r="L29" s="3" t="n">
        <v>4.34782608695652</v>
      </c>
      <c r="M29" s="3" t="n">
        <v>0</v>
      </c>
      <c r="N29" s="3" t="n">
        <v>0</v>
      </c>
      <c r="O29" s="3" t="s">
        <v>123</v>
      </c>
      <c r="P29" s="3" t="s">
        <v>107</v>
      </c>
    </row>
    <row r="30" customFormat="false" ht="23.85" hidden="false" customHeight="false" outlineLevel="0" collapsed="false">
      <c r="A30" s="1" t="s">
        <v>124</v>
      </c>
      <c r="B30" s="8" t="str">
        <f aca="false">O30</f>
        <v>GO28</v>
      </c>
      <c r="C30" s="2" t="n">
        <v>2</v>
      </c>
      <c r="D30" s="8" t="str">
        <f aca="false">P30</f>
        <v>LTF(2), OLFM4(4)</v>
      </c>
      <c r="E30" s="2" t="n">
        <v>0</v>
      </c>
      <c r="G30" s="2" t="n">
        <v>0</v>
      </c>
      <c r="I30" s="3" t="s">
        <v>125</v>
      </c>
      <c r="L30" s="3" t="n">
        <v>8.69565217391304</v>
      </c>
      <c r="M30" s="3" t="n">
        <v>0</v>
      </c>
      <c r="N30" s="3" t="n">
        <v>0</v>
      </c>
      <c r="O30" s="3" t="s">
        <v>126</v>
      </c>
      <c r="P30" s="3" t="s">
        <v>127</v>
      </c>
    </row>
    <row r="31" customFormat="false" ht="23.85" hidden="false" customHeight="false" outlineLevel="0" collapsed="false">
      <c r="A31" s="1" t="s">
        <v>128</v>
      </c>
      <c r="B31" s="8" t="str">
        <f aca="false">O31</f>
        <v>GO29</v>
      </c>
      <c r="C31" s="2" t="n">
        <v>2</v>
      </c>
      <c r="D31" s="8" t="str">
        <f aca="false">P31</f>
        <v>GRB7(5), DHX36(6)</v>
      </c>
      <c r="E31" s="2" t="n">
        <v>0</v>
      </c>
      <c r="G31" s="2" t="n">
        <v>0</v>
      </c>
      <c r="I31" s="3" t="s">
        <v>129</v>
      </c>
      <c r="L31" s="3" t="n">
        <v>8.69565217391304</v>
      </c>
      <c r="M31" s="3" t="n">
        <v>0</v>
      </c>
      <c r="N31" s="3" t="n">
        <v>0</v>
      </c>
      <c r="O31" s="3" t="s">
        <v>130</v>
      </c>
      <c r="P31" s="3" t="s">
        <v>131</v>
      </c>
    </row>
    <row r="32" customFormat="false" ht="23.85" hidden="false" customHeight="false" outlineLevel="0" collapsed="false">
      <c r="A32" s="1" t="s">
        <v>132</v>
      </c>
      <c r="B32" s="8" t="str">
        <f aca="false">O32</f>
        <v>GO30</v>
      </c>
      <c r="C32" s="2" t="n">
        <v>2</v>
      </c>
      <c r="D32" s="8" t="str">
        <f aca="false">P32</f>
        <v>LTF(2), OLFM4(4)</v>
      </c>
      <c r="E32" s="2" t="n">
        <v>0</v>
      </c>
      <c r="G32" s="2" t="n">
        <v>0</v>
      </c>
      <c r="I32" s="3" t="s">
        <v>125</v>
      </c>
      <c r="L32" s="3" t="n">
        <v>8.69565217391304</v>
      </c>
      <c r="M32" s="3" t="n">
        <v>0</v>
      </c>
      <c r="N32" s="3" t="n">
        <v>0</v>
      </c>
      <c r="O32" s="3" t="s">
        <v>133</v>
      </c>
      <c r="P32" s="3" t="s">
        <v>127</v>
      </c>
    </row>
  </sheetData>
  <mergeCells count="3">
    <mergeCell ref="C1:D1"/>
    <mergeCell ref="E1:F1"/>
    <mergeCell ref="G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9" width="48.39"/>
    <col collapsed="false" customWidth="true" hidden="false" outlineLevel="0" max="2" min="2" style="10" width="8.79"/>
    <col collapsed="false" customWidth="true" hidden="false" outlineLevel="0" max="3" min="3" style="10" width="6.29"/>
    <col collapsed="false" customWidth="true" hidden="false" outlineLevel="0" max="4" min="4" style="2" width="40.53"/>
    <col collapsed="false" customWidth="true" hidden="false" outlineLevel="0" max="5" min="5" style="10" width="6.29"/>
    <col collapsed="false" customWidth="true" hidden="false" outlineLevel="0" max="6" min="6" style="2" width="40.53"/>
    <col collapsed="false" customWidth="true" hidden="false" outlineLevel="0" max="7" min="7" style="10" width="6.29"/>
    <col collapsed="false" customWidth="true" hidden="false" outlineLevel="0" max="8" min="8" style="2" width="40.53"/>
    <col collapsed="false" customWidth="true" hidden="false" outlineLevel="0" max="9" min="9" style="3" width="14.08"/>
    <col collapsed="false" customWidth="true" hidden="false" outlineLevel="0" max="10" min="10" style="3" width="47.7"/>
    <col collapsed="false" customWidth="true" hidden="false" outlineLevel="0" max="11" min="11" style="3" width="119.25"/>
    <col collapsed="false" customWidth="true" hidden="false" outlineLevel="0" max="13" min="12" style="3" width="16.71"/>
    <col collapsed="false" customWidth="true" hidden="false" outlineLevel="0" max="14" min="14" style="3" width="17.68"/>
    <col collapsed="false" customWidth="true" hidden="false" outlineLevel="0" max="15" min="15" style="3" width="8.79"/>
    <col collapsed="false" customWidth="true" hidden="false" outlineLevel="0" max="16" min="16" style="3" width="17.13"/>
    <col collapsed="false" customWidth="true" hidden="false" outlineLevel="0" max="17" min="17" style="3" width="68.13"/>
    <col collapsed="false" customWidth="true" hidden="false" outlineLevel="0" max="18" min="18" style="3" width="168.16"/>
    <col collapsed="false" customWidth="false" hidden="false" outlineLevel="0" max="1023" min="19" style="3" width="11.52"/>
    <col collapsed="false" customWidth="false" hidden="false" outlineLevel="0" max="1024" min="1024" style="11" width="11.52"/>
  </cols>
  <sheetData>
    <row r="1" s="6" customFormat="true" ht="12.8" hidden="false" customHeight="false" outlineLevel="0" collapsed="false">
      <c r="A1" s="12"/>
      <c r="B1" s="12"/>
      <c r="C1" s="12" t="s">
        <v>0</v>
      </c>
      <c r="D1" s="12"/>
      <c r="E1" s="12" t="s">
        <v>1</v>
      </c>
      <c r="F1" s="12"/>
      <c r="G1" s="12" t="s">
        <v>2</v>
      </c>
      <c r="H1" s="12"/>
    </row>
    <row r="2" customFormat="false" ht="12.8" hidden="false" customHeight="false" outlineLevel="0" collapsed="false">
      <c r="B2" s="10" t="s">
        <v>4</v>
      </c>
      <c r="C2" s="10" t="s">
        <v>5</v>
      </c>
      <c r="D2" s="2" t="s">
        <v>6</v>
      </c>
      <c r="E2" s="10" t="s">
        <v>5</v>
      </c>
      <c r="F2" s="2" t="s">
        <v>6</v>
      </c>
      <c r="G2" s="10" t="s">
        <v>5</v>
      </c>
      <c r="H2" s="2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</row>
    <row r="3" customFormat="false" ht="22.35" hidden="false" customHeight="false" outlineLevel="0" collapsed="false">
      <c r="A3" s="9" t="s">
        <v>134</v>
      </c>
      <c r="B3" s="10" t="str">
        <f aca="false">O3</f>
        <v>KEGG1</v>
      </c>
      <c r="C3" s="10" t="n">
        <v>0</v>
      </c>
      <c r="E3" s="10" t="n">
        <v>6</v>
      </c>
      <c r="F3" s="2" t="s">
        <v>135</v>
      </c>
      <c r="G3" s="10" t="n">
        <v>4</v>
      </c>
      <c r="H3" s="2" t="s">
        <v>136</v>
      </c>
      <c r="J3" s="3" t="s">
        <v>137</v>
      </c>
      <c r="K3" s="3" t="s">
        <v>138</v>
      </c>
      <c r="L3" s="3" t="n">
        <v>0</v>
      </c>
      <c r="M3" s="3" t="n">
        <v>9.67741935483871</v>
      </c>
      <c r="N3" s="3" t="n">
        <v>2.35294117647059</v>
      </c>
      <c r="O3" s="3" t="s">
        <v>139</v>
      </c>
      <c r="Q3" s="3" t="s">
        <v>140</v>
      </c>
      <c r="R3" s="3" t="s">
        <v>141</v>
      </c>
    </row>
    <row r="4" customFormat="false" ht="22.35" hidden="false" customHeight="false" outlineLevel="0" collapsed="false">
      <c r="A4" s="9" t="s">
        <v>142</v>
      </c>
      <c r="B4" s="13" t="str">
        <f aca="false">O4</f>
        <v>KEGG2</v>
      </c>
      <c r="C4" s="10" t="n">
        <v>0</v>
      </c>
      <c r="E4" s="10" t="n">
        <v>7</v>
      </c>
      <c r="F4" s="2" t="s">
        <v>143</v>
      </c>
      <c r="G4" s="10" t="n">
        <v>1</v>
      </c>
      <c r="H4" s="8" t="str">
        <f aca="false">R4</f>
        <v>SEMA4C(82)</v>
      </c>
      <c r="J4" s="3" t="s">
        <v>144</v>
      </c>
      <c r="K4" s="3" t="s">
        <v>145</v>
      </c>
      <c r="L4" s="3" t="n">
        <v>0</v>
      </c>
      <c r="M4" s="3" t="n">
        <v>11.2903225806452</v>
      </c>
      <c r="N4" s="3" t="n">
        <v>0.588235294117647</v>
      </c>
      <c r="O4" s="3" t="s">
        <v>146</v>
      </c>
      <c r="Q4" s="3" t="s">
        <v>147</v>
      </c>
      <c r="R4" s="3" t="s">
        <v>148</v>
      </c>
    </row>
    <row r="5" customFormat="false" ht="22.35" hidden="false" customHeight="false" outlineLevel="0" collapsed="false">
      <c r="A5" s="9" t="s">
        <v>149</v>
      </c>
      <c r="B5" s="13" t="str">
        <f aca="false">O5</f>
        <v>KEGG3</v>
      </c>
      <c r="C5" s="10" t="n">
        <v>0</v>
      </c>
      <c r="E5" s="10" t="n">
        <v>4</v>
      </c>
      <c r="F5" s="2" t="s">
        <v>150</v>
      </c>
      <c r="G5" s="10" t="n">
        <v>6</v>
      </c>
      <c r="H5" s="8" t="str">
        <f aca="false">R5</f>
        <v>DVL2(83), DVL2(83), PSMB1(84), AKT2(85), RHEB(86), RPS6KB2(87)</v>
      </c>
      <c r="J5" s="3" t="s">
        <v>151</v>
      </c>
      <c r="K5" s="3" t="s">
        <v>152</v>
      </c>
      <c r="L5" s="3" t="n">
        <v>0</v>
      </c>
      <c r="M5" s="3" t="n">
        <v>6.45161290322581</v>
      </c>
      <c r="N5" s="3" t="n">
        <v>3.52941176470588</v>
      </c>
      <c r="O5" s="3" t="s">
        <v>153</v>
      </c>
      <c r="Q5" s="3" t="s">
        <v>154</v>
      </c>
      <c r="R5" s="3" t="s">
        <v>155</v>
      </c>
    </row>
    <row r="6" customFormat="false" ht="12.8" hidden="false" customHeight="false" outlineLevel="0" collapsed="false">
      <c r="A6" s="9" t="s">
        <v>156</v>
      </c>
      <c r="B6" s="13" t="str">
        <f aca="false">O6</f>
        <v>KEGG4</v>
      </c>
      <c r="C6" s="10" t="n">
        <v>0</v>
      </c>
      <c r="E6" s="10" t="n">
        <v>3</v>
      </c>
      <c r="F6" s="2" t="s">
        <v>157</v>
      </c>
      <c r="G6" s="10" t="n">
        <v>0</v>
      </c>
      <c r="J6" s="3" t="s">
        <v>158</v>
      </c>
      <c r="L6" s="3" t="n">
        <v>0</v>
      </c>
      <c r="M6" s="3" t="n">
        <v>4.83870967741936</v>
      </c>
      <c r="N6" s="3" t="n">
        <v>0</v>
      </c>
      <c r="O6" s="3" t="s">
        <v>159</v>
      </c>
      <c r="Q6" s="3" t="s">
        <v>160</v>
      </c>
    </row>
    <row r="7" customFormat="false" ht="12.8" hidden="false" customHeight="false" outlineLevel="0" collapsed="false">
      <c r="A7" s="9" t="s">
        <v>161</v>
      </c>
      <c r="B7" s="13" t="str">
        <f aca="false">O7</f>
        <v>KEGG5</v>
      </c>
      <c r="C7" s="10" t="n">
        <v>0</v>
      </c>
      <c r="E7" s="10" t="n">
        <v>3</v>
      </c>
      <c r="F7" s="8" t="str">
        <f aca="false">Q7</f>
        <v>CTTN(14), HIF1A(7), SRC(21)</v>
      </c>
      <c r="G7" s="10" t="n">
        <v>2</v>
      </c>
      <c r="H7" s="8" t="str">
        <f aca="false">R7</f>
        <v>AKT2(85), RPS6KB2(87)</v>
      </c>
      <c r="J7" s="3" t="s">
        <v>162</v>
      </c>
      <c r="K7" s="3" t="s">
        <v>163</v>
      </c>
      <c r="L7" s="3" t="n">
        <v>0</v>
      </c>
      <c r="M7" s="3" t="n">
        <v>4.83870967741936</v>
      </c>
      <c r="N7" s="3" t="n">
        <v>1.17647058823529</v>
      </c>
      <c r="O7" s="3" t="s">
        <v>164</v>
      </c>
      <c r="Q7" s="3" t="s">
        <v>165</v>
      </c>
      <c r="R7" s="3" t="s">
        <v>166</v>
      </c>
    </row>
    <row r="8" customFormat="false" ht="12.8" hidden="false" customHeight="false" outlineLevel="0" collapsed="false">
      <c r="A8" s="9" t="s">
        <v>167</v>
      </c>
      <c r="B8" s="13" t="str">
        <f aca="false">O8</f>
        <v>KEGG6</v>
      </c>
      <c r="C8" s="10" t="n">
        <v>0</v>
      </c>
      <c r="E8" s="10" t="n">
        <v>3</v>
      </c>
      <c r="F8" s="2" t="s">
        <v>168</v>
      </c>
      <c r="G8" s="10" t="n">
        <v>3</v>
      </c>
      <c r="H8" s="8" t="str">
        <f aca="false">R8</f>
        <v>DVL2(83), DVL2(83), PSMB1(84)</v>
      </c>
      <c r="J8" s="3" t="s">
        <v>169</v>
      </c>
      <c r="K8" s="3" t="s">
        <v>170</v>
      </c>
      <c r="L8" s="3" t="n">
        <v>0</v>
      </c>
      <c r="M8" s="3" t="n">
        <v>4.83870967741936</v>
      </c>
      <c r="N8" s="3" t="n">
        <v>1.76470588235294</v>
      </c>
      <c r="O8" s="3" t="s">
        <v>171</v>
      </c>
      <c r="Q8" s="3" t="s">
        <v>172</v>
      </c>
      <c r="R8" s="3" t="s">
        <v>173</v>
      </c>
    </row>
    <row r="9" customFormat="false" ht="12.8" hidden="false" customHeight="false" outlineLevel="0" collapsed="false">
      <c r="A9" s="9" t="s">
        <v>174</v>
      </c>
      <c r="B9" s="13" t="str">
        <f aca="false">O9</f>
        <v>KEGG7</v>
      </c>
      <c r="C9" s="10" t="n">
        <v>0</v>
      </c>
      <c r="E9" s="10" t="n">
        <v>3</v>
      </c>
      <c r="F9" s="8" t="str">
        <f aca="false">Q9</f>
        <v>MOGS(73), RPN2(74), HSPA1A(25)</v>
      </c>
      <c r="G9" s="10" t="n">
        <v>3</v>
      </c>
      <c r="H9" s="8" t="str">
        <f aca="false">R9</f>
        <v>CAPN1(55), HSPBP1(88), OSTC(89)</v>
      </c>
      <c r="J9" s="3" t="s">
        <v>175</v>
      </c>
      <c r="K9" s="3" t="s">
        <v>176</v>
      </c>
      <c r="L9" s="3" t="n">
        <v>0</v>
      </c>
      <c r="M9" s="3" t="n">
        <v>4.83870967741936</v>
      </c>
      <c r="N9" s="3" t="n">
        <v>1.76470588235294</v>
      </c>
      <c r="O9" s="3" t="s">
        <v>177</v>
      </c>
      <c r="Q9" s="3" t="s">
        <v>178</v>
      </c>
      <c r="R9" s="3" t="s">
        <v>179</v>
      </c>
    </row>
    <row r="10" customFormat="false" ht="22.35" hidden="false" customHeight="false" outlineLevel="0" collapsed="false">
      <c r="A10" s="9" t="s">
        <v>180</v>
      </c>
      <c r="B10" s="13" t="str">
        <f aca="false">O10</f>
        <v>KEGG8</v>
      </c>
      <c r="C10" s="10" t="n">
        <v>0</v>
      </c>
      <c r="E10" s="10" t="n">
        <v>5</v>
      </c>
      <c r="F10" s="2" t="s">
        <v>181</v>
      </c>
      <c r="G10" s="10" t="n">
        <v>0</v>
      </c>
      <c r="J10" s="3" t="s">
        <v>182</v>
      </c>
      <c r="L10" s="3" t="n">
        <v>0</v>
      </c>
      <c r="M10" s="3" t="n">
        <v>8.06451612903226</v>
      </c>
      <c r="N10" s="3" t="n">
        <v>0</v>
      </c>
      <c r="O10" s="3" t="s">
        <v>183</v>
      </c>
      <c r="Q10" s="3" t="s">
        <v>184</v>
      </c>
    </row>
    <row r="11" customFormat="false" ht="12.8" hidden="false" customHeight="false" outlineLevel="0" collapsed="false">
      <c r="A11" s="9" t="s">
        <v>185</v>
      </c>
      <c r="B11" s="13" t="str">
        <f aca="false">O11</f>
        <v>KEGG9</v>
      </c>
      <c r="C11" s="10" t="n">
        <v>0</v>
      </c>
      <c r="E11" s="10" t="n">
        <v>4</v>
      </c>
      <c r="F11" s="2" t="s">
        <v>186</v>
      </c>
      <c r="G11" s="10" t="n">
        <v>1</v>
      </c>
      <c r="H11" s="8" t="str">
        <f aca="false">R11</f>
        <v>AKT2(85)</v>
      </c>
      <c r="J11" s="3" t="s">
        <v>187</v>
      </c>
      <c r="K11" s="3" t="s">
        <v>188</v>
      </c>
      <c r="L11" s="3" t="n">
        <v>0</v>
      </c>
      <c r="M11" s="3" t="n">
        <v>6.45161290322581</v>
      </c>
      <c r="N11" s="3" t="n">
        <v>0.588235294117647</v>
      </c>
      <c r="O11" s="3" t="s">
        <v>189</v>
      </c>
      <c r="Q11" s="3" t="s">
        <v>190</v>
      </c>
      <c r="R11" s="3" t="s">
        <v>191</v>
      </c>
    </row>
    <row r="12" customFormat="false" ht="12.8" hidden="false" customHeight="false" outlineLevel="0" collapsed="false">
      <c r="A12" s="9" t="s">
        <v>192</v>
      </c>
      <c r="B12" s="13" t="str">
        <f aca="false">O12</f>
        <v>KEGG10</v>
      </c>
      <c r="C12" s="10" t="n">
        <v>0</v>
      </c>
      <c r="E12" s="10" t="n">
        <v>4</v>
      </c>
      <c r="F12" s="2" t="s">
        <v>193</v>
      </c>
      <c r="G12" s="10" t="n">
        <v>1</v>
      </c>
      <c r="H12" s="8" t="str">
        <f aca="false">R12</f>
        <v>AKT2(85)</v>
      </c>
      <c r="J12" s="3" t="s">
        <v>194</v>
      </c>
      <c r="K12" s="3" t="s">
        <v>188</v>
      </c>
      <c r="L12" s="3" t="n">
        <v>0</v>
      </c>
      <c r="M12" s="3" t="n">
        <v>6.45161290322581</v>
      </c>
      <c r="N12" s="3" t="n">
        <v>0.588235294117647</v>
      </c>
      <c r="O12" s="3" t="s">
        <v>195</v>
      </c>
      <c r="Q12" s="3" t="s">
        <v>196</v>
      </c>
      <c r="R12" s="3" t="s">
        <v>191</v>
      </c>
    </row>
    <row r="13" customFormat="false" ht="55.95" hidden="false" customHeight="false" outlineLevel="0" collapsed="false">
      <c r="A13" s="9" t="s">
        <v>197</v>
      </c>
      <c r="B13" s="13" t="str">
        <f aca="false">O13</f>
        <v>KEGG11</v>
      </c>
      <c r="C13" s="10" t="n">
        <v>0</v>
      </c>
      <c r="E13" s="10" t="n">
        <v>0</v>
      </c>
      <c r="G13" s="10" t="n">
        <v>14</v>
      </c>
      <c r="H13" s="8" t="str">
        <f aca="false">R13</f>
        <v>DVL2(83), DVL2(83), PSMB1(84), CAPN1(55), PSMC6(51), PSMA7(56), PSMD7(52), NDUFS8(28), NDUFS8(28), COX6A1(29), COX7A2L(31), PSMD4(53), PSMD4(53), PSMC2(54)</v>
      </c>
      <c r="K13" s="3" t="s">
        <v>198</v>
      </c>
      <c r="L13" s="3" t="n">
        <v>0</v>
      </c>
      <c r="M13" s="3" t="n">
        <v>0</v>
      </c>
      <c r="N13" s="3" t="n">
        <v>8.23529411764706</v>
      </c>
      <c r="O13" s="3" t="s">
        <v>199</v>
      </c>
      <c r="R13" s="3" t="s">
        <v>200</v>
      </c>
    </row>
    <row r="14" customFormat="false" ht="55.95" hidden="false" customHeight="false" outlineLevel="0" collapsed="false">
      <c r="A14" s="9" t="s">
        <v>201</v>
      </c>
      <c r="B14" s="13" t="str">
        <f aca="false">O14</f>
        <v>KEGG12</v>
      </c>
      <c r="C14" s="10" t="n">
        <v>0</v>
      </c>
      <c r="E14" s="10" t="n">
        <v>0</v>
      </c>
      <c r="G14" s="10" t="n">
        <v>16</v>
      </c>
      <c r="H14" s="2" t="s">
        <v>202</v>
      </c>
      <c r="K14" s="3" t="s">
        <v>203</v>
      </c>
      <c r="L14" s="3" t="n">
        <v>0</v>
      </c>
      <c r="M14" s="3" t="n">
        <v>0</v>
      </c>
      <c r="N14" s="3" t="n">
        <v>9.41176470588235</v>
      </c>
      <c r="O14" s="3" t="s">
        <v>204</v>
      </c>
      <c r="R14" s="3" t="s">
        <v>205</v>
      </c>
    </row>
    <row r="15" customFormat="false" ht="22.35" hidden="false" customHeight="false" outlineLevel="0" collapsed="false">
      <c r="A15" s="9" t="s">
        <v>206</v>
      </c>
      <c r="B15" s="13" t="str">
        <f aca="false">O15</f>
        <v>KEGG13</v>
      </c>
      <c r="C15" s="10" t="n">
        <v>0</v>
      </c>
      <c r="E15" s="10" t="n">
        <v>0</v>
      </c>
      <c r="G15" s="10" t="n">
        <v>7</v>
      </c>
      <c r="H15" s="8" t="str">
        <f aca="false">R15</f>
        <v>DVL2(83), DVL2(83), PSMB1(84), AKT2(85), SMARCD2(91), SMARCD2(91), RPS6KB2(87)</v>
      </c>
      <c r="K15" s="3" t="s">
        <v>207</v>
      </c>
      <c r="L15" s="3" t="n">
        <v>0</v>
      </c>
      <c r="M15" s="3" t="n">
        <v>0</v>
      </c>
      <c r="N15" s="3" t="n">
        <v>4.11764705882353</v>
      </c>
      <c r="O15" s="3" t="s">
        <v>208</v>
      </c>
      <c r="R15" s="3" t="s">
        <v>209</v>
      </c>
    </row>
    <row r="16" customFormat="false" ht="22.35" hidden="false" customHeight="false" outlineLevel="0" collapsed="false">
      <c r="A16" s="9" t="s">
        <v>210</v>
      </c>
      <c r="B16" s="13" t="str">
        <f aca="false">O16</f>
        <v>KEGG14</v>
      </c>
      <c r="C16" s="10" t="n">
        <v>0</v>
      </c>
      <c r="E16" s="10" t="n">
        <v>0</v>
      </c>
      <c r="G16" s="10" t="n">
        <v>7</v>
      </c>
      <c r="H16" s="8" t="str">
        <f aca="false">R16</f>
        <v>PSMC6(51), PSMA7(56), PSMD7(52), AKT2(85), PSMD4(53), PSMD4(53), PSMC2(54)</v>
      </c>
      <c r="K16" s="3" t="s">
        <v>211</v>
      </c>
      <c r="L16" s="3" t="n">
        <v>0</v>
      </c>
      <c r="M16" s="3" t="n">
        <v>0</v>
      </c>
      <c r="N16" s="3" t="n">
        <v>4.11764705882353</v>
      </c>
      <c r="O16" s="3" t="s">
        <v>212</v>
      </c>
      <c r="R16" s="3" t="s">
        <v>213</v>
      </c>
    </row>
    <row r="17" customFormat="false" ht="33.55" hidden="false" customHeight="false" outlineLevel="0" collapsed="false">
      <c r="A17" s="9" t="s">
        <v>214</v>
      </c>
      <c r="B17" s="13" t="str">
        <f aca="false">O17</f>
        <v>KEGG15</v>
      </c>
      <c r="C17" s="10" t="n">
        <v>0</v>
      </c>
      <c r="E17" s="10" t="n">
        <v>0</v>
      </c>
      <c r="G17" s="10" t="n">
        <v>9</v>
      </c>
      <c r="H17" s="8" t="str">
        <f aca="false">R17</f>
        <v>DVL2(83), DVL2(83), PSMB1(84), SEH1L(59), TTI1(92), AKT2(85), RHEB(86), RPS6KB2(87), AKT1S1(93)</v>
      </c>
      <c r="K17" s="3" t="s">
        <v>215</v>
      </c>
      <c r="L17" s="3" t="n">
        <v>0</v>
      </c>
      <c r="M17" s="3" t="n">
        <v>0</v>
      </c>
      <c r="N17" s="3" t="n">
        <v>5.29411764705882</v>
      </c>
      <c r="O17" s="3" t="s">
        <v>216</v>
      </c>
      <c r="R17" s="3" t="s">
        <v>217</v>
      </c>
    </row>
    <row r="18" customFormat="false" ht="33.55" hidden="false" customHeight="false" outlineLevel="0" collapsed="false">
      <c r="A18" s="9" t="s">
        <v>218</v>
      </c>
      <c r="B18" s="13" t="str">
        <f aca="false">O18</f>
        <v>KEGG16</v>
      </c>
      <c r="C18" s="10" t="n">
        <v>0</v>
      </c>
      <c r="E18" s="10" t="n">
        <v>0</v>
      </c>
      <c r="G18" s="10" t="n">
        <v>9</v>
      </c>
      <c r="H18" s="8" t="str">
        <f aca="false">R18</f>
        <v>RHEB(86), SMARCD2(91), SMARCD2(91), NDUFS8(28), NDUFS8(28), COX6A1(29), COX7A2L(31), RPS6KB2(87), AKT1S1(93)</v>
      </c>
      <c r="K18" s="3" t="s">
        <v>219</v>
      </c>
      <c r="L18" s="3" t="n">
        <v>0</v>
      </c>
      <c r="M18" s="3" t="n">
        <v>0</v>
      </c>
      <c r="N18" s="3" t="n">
        <v>5.29411764705882</v>
      </c>
      <c r="O18" s="3" t="s">
        <v>220</v>
      </c>
      <c r="R18" s="3" t="s">
        <v>221</v>
      </c>
    </row>
    <row r="19" customFormat="false" ht="44.75" hidden="false" customHeight="false" outlineLevel="0" collapsed="false">
      <c r="A19" s="9" t="s">
        <v>222</v>
      </c>
      <c r="B19" s="13" t="str">
        <f aca="false">O19</f>
        <v>KEGG17</v>
      </c>
      <c r="C19" s="10" t="n">
        <v>0</v>
      </c>
      <c r="E19" s="10" t="n">
        <v>1</v>
      </c>
      <c r="F19" s="8" t="str">
        <f aca="false">Q19</f>
        <v>HSPA1A(25)</v>
      </c>
      <c r="G19" s="10" t="n">
        <v>10</v>
      </c>
      <c r="H19" s="8" t="str">
        <f aca="false">R19</f>
        <v>PSMC6(51), PSMA7(56), PSMD7(52), NDUFS8(28), NDUFS8(28), COX6A1(29), COX7A2L(31), PSMD4(53), PSMD4(53), PSMC2(54)</v>
      </c>
      <c r="J19" s="3" t="s">
        <v>223</v>
      </c>
      <c r="K19" s="3" t="s">
        <v>224</v>
      </c>
      <c r="L19" s="3" t="n">
        <v>0</v>
      </c>
      <c r="M19" s="3" t="n">
        <v>1.61290322580645</v>
      </c>
      <c r="N19" s="3" t="n">
        <v>5.88235294117647</v>
      </c>
      <c r="O19" s="3" t="s">
        <v>225</v>
      </c>
      <c r="Q19" s="3" t="s">
        <v>226</v>
      </c>
      <c r="R19" s="3" t="s">
        <v>227</v>
      </c>
    </row>
    <row r="20" customFormat="false" ht="44.75" hidden="false" customHeight="false" outlineLevel="0" collapsed="false">
      <c r="A20" s="9" t="s">
        <v>228</v>
      </c>
      <c r="B20" s="13" t="str">
        <f aca="false">O20</f>
        <v>KEGG18</v>
      </c>
      <c r="C20" s="10" t="n">
        <v>0</v>
      </c>
      <c r="E20" s="10" t="n">
        <v>0</v>
      </c>
      <c r="G20" s="10" t="n">
        <v>11</v>
      </c>
      <c r="H20" s="2" t="s">
        <v>229</v>
      </c>
      <c r="K20" s="3" t="s">
        <v>230</v>
      </c>
      <c r="L20" s="3" t="n">
        <v>0</v>
      </c>
      <c r="M20" s="3" t="n">
        <v>0</v>
      </c>
      <c r="N20" s="3" t="n">
        <v>6.47058823529412</v>
      </c>
      <c r="O20" s="3" t="s">
        <v>231</v>
      </c>
      <c r="R20" s="3" t="s">
        <v>232</v>
      </c>
    </row>
    <row r="21" customFormat="false" ht="44.75" hidden="false" customHeight="false" outlineLevel="0" collapsed="false">
      <c r="A21" s="9" t="s">
        <v>233</v>
      </c>
      <c r="B21" s="13" t="str">
        <f aca="false">O21</f>
        <v>KEGG19</v>
      </c>
      <c r="C21" s="10" t="n">
        <v>0</v>
      </c>
      <c r="E21" s="10" t="n">
        <v>0</v>
      </c>
      <c r="G21" s="10" t="n">
        <v>12</v>
      </c>
      <c r="H21" s="8" t="str">
        <f aca="false">R21</f>
        <v>SEH1L(59), PSMC6(51), PSMA7(56), PSMD7(52), NDUFS8(28), NDUFS8(28), COX6A1(29), COX7A2L(31), NXT1(62), PSMD4(53), PSMD4(53), PSMC2(54)</v>
      </c>
      <c r="K21" s="3" t="s">
        <v>234</v>
      </c>
      <c r="L21" s="3" t="n">
        <v>0</v>
      </c>
      <c r="M21" s="3" t="n">
        <v>0</v>
      </c>
      <c r="N21" s="3" t="n">
        <v>7.05882352941176</v>
      </c>
      <c r="O21" s="3" t="s">
        <v>235</v>
      </c>
      <c r="R21" s="3" t="s">
        <v>236</v>
      </c>
    </row>
    <row r="22" customFormat="false" ht="44.75" hidden="false" customHeight="false" outlineLevel="0" collapsed="false">
      <c r="A22" s="9" t="s">
        <v>237</v>
      </c>
      <c r="B22" s="13" t="str">
        <f aca="false">O22</f>
        <v>KEGG20</v>
      </c>
      <c r="C22" s="10" t="n">
        <v>0</v>
      </c>
      <c r="E22" s="10" t="n">
        <v>0</v>
      </c>
      <c r="G22" s="10" t="n">
        <v>12</v>
      </c>
      <c r="H22" s="2" t="s">
        <v>238</v>
      </c>
      <c r="K22" s="3" t="s">
        <v>239</v>
      </c>
      <c r="L22" s="3" t="n">
        <v>0</v>
      </c>
      <c r="M22" s="3" t="n">
        <v>0</v>
      </c>
      <c r="N22" s="3" t="n">
        <v>7.05882352941176</v>
      </c>
      <c r="O22" s="3" t="s">
        <v>240</v>
      </c>
      <c r="R22" s="3" t="s">
        <v>241</v>
      </c>
    </row>
    <row r="23" customFormat="false" ht="12.8" hidden="false" customHeight="false" outlineLevel="0" collapsed="false">
      <c r="A23" s="9" t="s">
        <v>242</v>
      </c>
      <c r="B23" s="13" t="str">
        <f aca="false">O23</f>
        <v>KEGG21</v>
      </c>
      <c r="C23" s="10" t="n">
        <v>1</v>
      </c>
      <c r="D23" s="8" t="str">
        <f aca="false">P23</f>
        <v>KPNA4(67)</v>
      </c>
      <c r="E23" s="10" t="n">
        <v>2</v>
      </c>
      <c r="F23" s="8" t="str">
        <f aca="false">Q23</f>
        <v>RNPS1(76), RNPS1(76)</v>
      </c>
      <c r="G23" s="10" t="n">
        <v>3</v>
      </c>
      <c r="H23" s="8" t="str">
        <f aca="false">R23</f>
        <v>SEH1L(59), THOC6(94), NXT1(62)</v>
      </c>
      <c r="I23" s="3" t="s">
        <v>243</v>
      </c>
      <c r="J23" s="3" t="s">
        <v>244</v>
      </c>
      <c r="K23" s="3" t="s">
        <v>245</v>
      </c>
      <c r="L23" s="3" t="n">
        <v>4.34782608695652</v>
      </c>
      <c r="M23" s="3" t="n">
        <v>3.2258064516129</v>
      </c>
      <c r="N23" s="3" t="n">
        <v>1.76470588235294</v>
      </c>
      <c r="O23" s="3" t="s">
        <v>246</v>
      </c>
      <c r="P23" s="3" t="s">
        <v>247</v>
      </c>
      <c r="Q23" s="3" t="s">
        <v>248</v>
      </c>
      <c r="R23" s="3" t="s">
        <v>249</v>
      </c>
    </row>
    <row r="24" customFormat="false" ht="12.8" hidden="false" customHeight="false" outlineLevel="0" collapsed="false">
      <c r="A24" s="9" t="s">
        <v>250</v>
      </c>
      <c r="B24" s="13" t="str">
        <f aca="false">O24</f>
        <v>KEGG22</v>
      </c>
      <c r="C24" s="10" t="n">
        <v>1</v>
      </c>
      <c r="D24" s="8" t="str">
        <f aca="false">P24</f>
        <v>NADK2(68)</v>
      </c>
      <c r="E24" s="10" t="n">
        <v>1</v>
      </c>
      <c r="F24" s="8" t="str">
        <f aca="false">Q24</f>
        <v>NADSYN1(77)</v>
      </c>
      <c r="G24" s="10" t="n">
        <v>1</v>
      </c>
      <c r="H24" s="8" t="str">
        <f aca="false">R24</f>
        <v>NT5C(95)</v>
      </c>
      <c r="I24" s="3" t="s">
        <v>251</v>
      </c>
      <c r="J24" s="3" t="s">
        <v>252</v>
      </c>
      <c r="K24" s="3" t="s">
        <v>253</v>
      </c>
      <c r="L24" s="3" t="n">
        <v>4.34782608695652</v>
      </c>
      <c r="M24" s="3" t="n">
        <v>1.61290322580645</v>
      </c>
      <c r="N24" s="3" t="n">
        <v>0.588235294117647</v>
      </c>
      <c r="O24" s="3" t="s">
        <v>254</v>
      </c>
      <c r="P24" s="3" t="s">
        <v>255</v>
      </c>
      <c r="Q24" s="3" t="s">
        <v>256</v>
      </c>
      <c r="R24" s="3" t="s">
        <v>257</v>
      </c>
    </row>
    <row r="25" customFormat="false" ht="12.8" hidden="false" customHeight="false" outlineLevel="0" collapsed="false">
      <c r="A25" s="9" t="s">
        <v>258</v>
      </c>
      <c r="B25" s="13" t="str">
        <f aca="false">O25</f>
        <v>KEGG23</v>
      </c>
      <c r="C25" s="10" t="n">
        <v>1</v>
      </c>
      <c r="D25" s="8" t="str">
        <f aca="false">P25</f>
        <v>DHX36(6)</v>
      </c>
      <c r="E25" s="10" t="n">
        <v>0</v>
      </c>
      <c r="G25" s="10" t="n">
        <v>2</v>
      </c>
      <c r="H25" s="8" t="str">
        <f aca="false">R25</f>
        <v>CNOT3(96), CNOT9(97)</v>
      </c>
      <c r="I25" s="3" t="s">
        <v>259</v>
      </c>
      <c r="K25" s="3" t="s">
        <v>260</v>
      </c>
      <c r="L25" s="3" t="n">
        <v>4.34782608695652</v>
      </c>
      <c r="M25" s="3" t="n">
        <v>0</v>
      </c>
      <c r="N25" s="3" t="n">
        <v>1.17647058823529</v>
      </c>
      <c r="O25" s="3" t="s">
        <v>261</v>
      </c>
      <c r="P25" s="3" t="s">
        <v>262</v>
      </c>
      <c r="R25" s="3" t="s">
        <v>263</v>
      </c>
    </row>
    <row r="26" customFormat="false" ht="12.8" hidden="false" customHeight="false" outlineLevel="0" collapsed="false">
      <c r="A26" s="9" t="s">
        <v>264</v>
      </c>
      <c r="B26" s="13" t="str">
        <f aca="false">O26</f>
        <v>KEGG24</v>
      </c>
      <c r="C26" s="10" t="n">
        <v>1</v>
      </c>
      <c r="D26" s="8" t="str">
        <f aca="false">P26</f>
        <v>NSDHL(69)</v>
      </c>
      <c r="E26" s="10" t="n">
        <v>0</v>
      </c>
      <c r="G26" s="10" t="n">
        <v>1</v>
      </c>
      <c r="H26" s="8" t="str">
        <f aca="false">R26</f>
        <v>LBR(64)</v>
      </c>
      <c r="I26" s="3" t="s">
        <v>265</v>
      </c>
      <c r="K26" s="3" t="s">
        <v>266</v>
      </c>
      <c r="L26" s="3" t="n">
        <v>4.34782608695652</v>
      </c>
      <c r="M26" s="3" t="n">
        <v>0</v>
      </c>
      <c r="N26" s="3" t="n">
        <v>0.588235294117647</v>
      </c>
      <c r="O26" s="3" t="s">
        <v>267</v>
      </c>
      <c r="P26" s="3" t="s">
        <v>268</v>
      </c>
      <c r="R26" s="3" t="s">
        <v>269</v>
      </c>
    </row>
    <row r="27" customFormat="false" ht="12.8" hidden="false" customHeight="false" outlineLevel="0" collapsed="false">
      <c r="A27" s="9" t="s">
        <v>270</v>
      </c>
      <c r="B27" s="13" t="str">
        <f aca="false">O27</f>
        <v>KEGG25</v>
      </c>
      <c r="C27" s="10" t="n">
        <v>1</v>
      </c>
      <c r="D27" s="8" t="str">
        <f aca="false">P27</f>
        <v>MARCKS(3)</v>
      </c>
      <c r="E27" s="10" t="n">
        <v>0</v>
      </c>
      <c r="G27" s="10" t="n">
        <v>1</v>
      </c>
      <c r="H27" s="8" t="str">
        <f aca="false">R27</f>
        <v>CDC25B(98)</v>
      </c>
      <c r="I27" s="3" t="s">
        <v>119</v>
      </c>
      <c r="K27" s="3" t="s">
        <v>271</v>
      </c>
      <c r="L27" s="3" t="n">
        <v>4.34782608695652</v>
      </c>
      <c r="M27" s="3" t="n">
        <v>0</v>
      </c>
      <c r="N27" s="3" t="n">
        <v>0.588235294117647</v>
      </c>
      <c r="O27" s="3" t="s">
        <v>272</v>
      </c>
      <c r="P27" s="3" t="s">
        <v>121</v>
      </c>
      <c r="R27" s="3" t="s">
        <v>273</v>
      </c>
    </row>
    <row r="28" customFormat="false" ht="12.8" hidden="false" customHeight="false" outlineLevel="0" collapsed="false">
      <c r="A28" s="9" t="s">
        <v>274</v>
      </c>
      <c r="B28" s="13" t="str">
        <f aca="false">O28</f>
        <v>KEGG26</v>
      </c>
      <c r="C28" s="10" t="n">
        <v>1</v>
      </c>
      <c r="D28" s="8" t="str">
        <f aca="false">P28</f>
        <v>KPNA4(67)</v>
      </c>
      <c r="E28" s="10" t="n">
        <v>0</v>
      </c>
      <c r="G28" s="10" t="n">
        <v>1</v>
      </c>
      <c r="H28" s="8" t="str">
        <f aca="false">R28</f>
        <v>AKT2(85)</v>
      </c>
      <c r="I28" s="3" t="s">
        <v>243</v>
      </c>
      <c r="K28" s="3" t="s">
        <v>188</v>
      </c>
      <c r="L28" s="3" t="n">
        <v>4.34782608695652</v>
      </c>
      <c r="M28" s="3" t="n">
        <v>0</v>
      </c>
      <c r="N28" s="3" t="n">
        <v>0.588235294117647</v>
      </c>
      <c r="O28" s="3" t="s">
        <v>275</v>
      </c>
      <c r="P28" s="3" t="s">
        <v>247</v>
      </c>
      <c r="R28" s="3" t="s">
        <v>191</v>
      </c>
    </row>
    <row r="29" customFormat="false" ht="12.8" hidden="false" customHeight="false" outlineLevel="0" collapsed="false">
      <c r="A29" s="9" t="s">
        <v>276</v>
      </c>
      <c r="B29" s="13" t="str">
        <f aca="false">O29</f>
        <v>KEGG27</v>
      </c>
      <c r="C29" s="10" t="n">
        <v>1</v>
      </c>
      <c r="D29" s="2" t="s">
        <v>277</v>
      </c>
      <c r="E29" s="10" t="n">
        <v>0</v>
      </c>
      <c r="G29" s="10" t="n">
        <v>0</v>
      </c>
      <c r="I29" s="3" t="s">
        <v>278</v>
      </c>
      <c r="L29" s="3" t="n">
        <v>4.34782608695652</v>
      </c>
      <c r="M29" s="3" t="n">
        <v>0</v>
      </c>
      <c r="N29" s="3" t="n">
        <v>0</v>
      </c>
      <c r="O29" s="3" t="s">
        <v>279</v>
      </c>
      <c r="P29" s="3" t="s">
        <v>280</v>
      </c>
    </row>
    <row r="30" customFormat="false" ht="12.8" hidden="false" customHeight="false" outlineLevel="0" collapsed="false">
      <c r="A30" s="9" t="s">
        <v>281</v>
      </c>
      <c r="B30" s="13" t="str">
        <f aca="false">O30</f>
        <v>KEGG28</v>
      </c>
      <c r="C30" s="10" t="n">
        <v>1</v>
      </c>
      <c r="D30" s="2" t="s">
        <v>277</v>
      </c>
      <c r="E30" s="10" t="n">
        <v>0</v>
      </c>
      <c r="G30" s="10" t="n">
        <v>0</v>
      </c>
      <c r="I30" s="3" t="s">
        <v>278</v>
      </c>
      <c r="L30" s="3" t="n">
        <v>4.34782608695652</v>
      </c>
      <c r="M30" s="3" t="n">
        <v>0</v>
      </c>
      <c r="N30" s="3" t="n">
        <v>0</v>
      </c>
      <c r="O30" s="3" t="s">
        <v>282</v>
      </c>
      <c r="P30" s="3" t="s">
        <v>280</v>
      </c>
    </row>
    <row r="31" customFormat="false" ht="12.8" hidden="false" customHeight="false" outlineLevel="0" collapsed="false">
      <c r="A31" s="9" t="s">
        <v>283</v>
      </c>
      <c r="B31" s="13" t="str">
        <f aca="false">O31</f>
        <v>KEGG29</v>
      </c>
      <c r="C31" s="10" t="n">
        <v>1</v>
      </c>
      <c r="D31" s="8" t="str">
        <f aca="false">P31</f>
        <v>FABP7(71)</v>
      </c>
      <c r="E31" s="10" t="n">
        <v>0</v>
      </c>
      <c r="G31" s="10" t="n">
        <v>0</v>
      </c>
      <c r="I31" s="3" t="s">
        <v>284</v>
      </c>
      <c r="L31" s="3" t="n">
        <v>4.34782608695652</v>
      </c>
      <c r="M31" s="3" t="n">
        <v>0</v>
      </c>
      <c r="N31" s="3" t="n">
        <v>0</v>
      </c>
      <c r="O31" s="3" t="s">
        <v>285</v>
      </c>
      <c r="P31" s="3" t="s">
        <v>286</v>
      </c>
    </row>
    <row r="32" customFormat="false" ht="12.8" hidden="false" customHeight="false" outlineLevel="0" collapsed="false">
      <c r="A32" s="9" t="s">
        <v>287</v>
      </c>
      <c r="B32" s="13" t="str">
        <f aca="false">O32</f>
        <v>KEGG30</v>
      </c>
      <c r="C32" s="10" t="n">
        <v>1</v>
      </c>
      <c r="D32" s="8" t="str">
        <f aca="false">P32</f>
        <v>TKFC(72)</v>
      </c>
      <c r="E32" s="10" t="n">
        <v>0</v>
      </c>
      <c r="G32" s="10" t="n">
        <v>0</v>
      </c>
      <c r="I32" s="3" t="s">
        <v>288</v>
      </c>
      <c r="L32" s="3" t="n">
        <v>4.34782608695652</v>
      </c>
      <c r="M32" s="3" t="n">
        <v>0</v>
      </c>
      <c r="N32" s="3" t="n">
        <v>0</v>
      </c>
      <c r="O32" s="3" t="s">
        <v>289</v>
      </c>
      <c r="P32" s="3" t="s">
        <v>290</v>
      </c>
    </row>
  </sheetData>
  <mergeCells count="3">
    <mergeCell ref="C1:D1"/>
    <mergeCell ref="E1:F1"/>
    <mergeCell ref="G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3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J18" activeCellId="0" sqref="J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9" width="51.31"/>
    <col collapsed="false" customWidth="true" hidden="false" outlineLevel="0" max="2" min="2" style="10" width="11.71"/>
    <col collapsed="false" customWidth="true" hidden="false" outlineLevel="0" max="3" min="3" style="10" width="6.29"/>
    <col collapsed="false" customWidth="true" hidden="false" outlineLevel="0" max="4" min="4" style="2" width="29.3"/>
    <col collapsed="false" customWidth="true" hidden="false" outlineLevel="0" max="5" min="5" style="10" width="6.29"/>
    <col collapsed="false" customWidth="true" hidden="false" outlineLevel="0" max="6" min="6" style="2" width="26.78"/>
    <col collapsed="false" customWidth="true" hidden="false" outlineLevel="0" max="7" min="7" style="10" width="6.29"/>
    <col collapsed="false" customWidth="true" hidden="false" outlineLevel="0" max="8" min="8" style="2" width="51.28"/>
    <col collapsed="false" customWidth="true" hidden="false" outlineLevel="0" max="9" min="9" style="3" width="14.08"/>
    <col collapsed="false" customWidth="true" hidden="false" outlineLevel="0" max="10" min="10" style="3" width="42.28"/>
    <col collapsed="false" customWidth="true" hidden="false" outlineLevel="0" max="11" min="11" style="3" width="96.33"/>
    <col collapsed="false" customWidth="true" hidden="false" outlineLevel="0" max="13" min="12" style="3" width="16.71"/>
    <col collapsed="false" customWidth="true" hidden="false" outlineLevel="0" max="14" min="14" style="3" width="17.68"/>
    <col collapsed="false" customWidth="true" hidden="false" outlineLevel="0" max="15" min="15" style="3" width="11.71"/>
    <col collapsed="false" customWidth="true" hidden="false" outlineLevel="0" max="16" min="16" style="3" width="19.35"/>
    <col collapsed="false" customWidth="true" hidden="false" outlineLevel="0" max="17" min="17" style="3" width="60.47"/>
    <col collapsed="false" customWidth="true" hidden="false" outlineLevel="0" max="18" min="18" style="3" width="138.01"/>
    <col collapsed="false" customWidth="false" hidden="false" outlineLevel="0" max="1023" min="19" style="3" width="11.52"/>
    <col collapsed="false" customWidth="false" hidden="false" outlineLevel="0" max="1024" min="1024" style="11" width="11.52"/>
  </cols>
  <sheetData>
    <row r="1" s="6" customFormat="true" ht="12.8" hidden="false" customHeight="false" outlineLevel="0" collapsed="false">
      <c r="A1" s="12"/>
      <c r="B1" s="12"/>
      <c r="C1" s="12" t="s">
        <v>0</v>
      </c>
      <c r="D1" s="12"/>
      <c r="E1" s="12" t="s">
        <v>1</v>
      </c>
      <c r="F1" s="12"/>
      <c r="G1" s="12" t="s">
        <v>2</v>
      </c>
      <c r="H1" s="12"/>
    </row>
    <row r="2" customFormat="false" ht="12.8" hidden="false" customHeight="false" outlineLevel="0" collapsed="false">
      <c r="B2" s="10" t="s">
        <v>4</v>
      </c>
      <c r="C2" s="10" t="s">
        <v>5</v>
      </c>
      <c r="D2" s="2" t="s">
        <v>6</v>
      </c>
      <c r="E2" s="10" t="s">
        <v>5</v>
      </c>
      <c r="F2" s="2" t="s">
        <v>6</v>
      </c>
      <c r="G2" s="10" t="s">
        <v>5</v>
      </c>
      <c r="H2" s="2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</row>
    <row r="3" customFormat="false" ht="12.8" hidden="false" customHeight="false" outlineLevel="0" collapsed="false">
      <c r="A3" s="9" t="s">
        <v>291</v>
      </c>
      <c r="B3" s="10" t="str">
        <f aca="false">O3</f>
        <v>Reactome1</v>
      </c>
      <c r="C3" s="10" t="n">
        <v>1</v>
      </c>
      <c r="D3" s="2" t="str">
        <f aca="false">P3</f>
        <v>COPB2(99)</v>
      </c>
      <c r="E3" s="10" t="n">
        <v>0</v>
      </c>
      <c r="G3" s="10" t="n">
        <v>4</v>
      </c>
      <c r="H3" s="2" t="s">
        <v>292</v>
      </c>
      <c r="I3" s="3" t="s">
        <v>293</v>
      </c>
      <c r="K3" s="3" t="s">
        <v>294</v>
      </c>
      <c r="L3" s="3" t="n">
        <v>4.34782608695652</v>
      </c>
      <c r="M3" s="3" t="n">
        <v>0</v>
      </c>
      <c r="N3" s="3" t="n">
        <v>2.35294117647059</v>
      </c>
      <c r="O3" s="3" t="s">
        <v>295</v>
      </c>
      <c r="P3" s="3" t="s">
        <v>296</v>
      </c>
      <c r="R3" s="3" t="s">
        <v>297</v>
      </c>
    </row>
    <row r="4" customFormat="false" ht="12.8" hidden="false" customHeight="false" outlineLevel="0" collapsed="false">
      <c r="A4" s="9" t="s">
        <v>298</v>
      </c>
      <c r="B4" s="13" t="str">
        <f aca="false">O4</f>
        <v>Reactome2</v>
      </c>
      <c r="C4" s="10" t="n">
        <v>1</v>
      </c>
      <c r="D4" s="8" t="str">
        <f aca="false">P4</f>
        <v>GRB7(5)</v>
      </c>
      <c r="E4" s="10" t="n">
        <v>1</v>
      </c>
      <c r="F4" s="8" t="str">
        <f aca="false">Q4</f>
        <v>SRC(21)</v>
      </c>
      <c r="G4" s="10" t="n">
        <v>0</v>
      </c>
      <c r="I4" s="3" t="s">
        <v>299</v>
      </c>
      <c r="J4" s="3" t="s">
        <v>300</v>
      </c>
      <c r="L4" s="3" t="n">
        <v>4.34782608695652</v>
      </c>
      <c r="M4" s="3" t="n">
        <v>1.61290322580645</v>
      </c>
      <c r="N4" s="3" t="n">
        <v>0</v>
      </c>
      <c r="O4" s="3" t="s">
        <v>301</v>
      </c>
      <c r="P4" s="3" t="s">
        <v>302</v>
      </c>
      <c r="Q4" s="3" t="s">
        <v>303</v>
      </c>
    </row>
    <row r="5" customFormat="false" ht="12.8" hidden="false" customHeight="false" outlineLevel="0" collapsed="false">
      <c r="A5" s="9" t="s">
        <v>304</v>
      </c>
      <c r="B5" s="13" t="str">
        <f aca="false">O5</f>
        <v>Reactome3</v>
      </c>
      <c r="C5" s="10" t="n">
        <v>1</v>
      </c>
      <c r="D5" s="8" t="str">
        <f aca="false">P5</f>
        <v>GRB7(5)</v>
      </c>
      <c r="E5" s="10" t="n">
        <v>1</v>
      </c>
      <c r="F5" s="8" t="str">
        <f aca="false">Q5</f>
        <v>SRC(21)</v>
      </c>
      <c r="G5" s="10" t="n">
        <v>0</v>
      </c>
      <c r="I5" s="3" t="s">
        <v>299</v>
      </c>
      <c r="J5" s="3" t="s">
        <v>300</v>
      </c>
      <c r="L5" s="3" t="n">
        <v>4.34782608695652</v>
      </c>
      <c r="M5" s="3" t="n">
        <v>1.61290322580645</v>
      </c>
      <c r="N5" s="3" t="n">
        <v>0</v>
      </c>
      <c r="O5" s="3" t="s">
        <v>305</v>
      </c>
      <c r="P5" s="3" t="s">
        <v>302</v>
      </c>
      <c r="Q5" s="3" t="s">
        <v>303</v>
      </c>
    </row>
    <row r="6" customFormat="false" ht="12.8" hidden="false" customHeight="false" outlineLevel="0" collapsed="false">
      <c r="A6" s="9" t="s">
        <v>306</v>
      </c>
      <c r="B6" s="13" t="str">
        <f aca="false">O6</f>
        <v>Reactome4</v>
      </c>
      <c r="C6" s="10" t="n">
        <v>1</v>
      </c>
      <c r="D6" s="2" t="s">
        <v>307</v>
      </c>
      <c r="E6" s="10" t="n">
        <v>0</v>
      </c>
      <c r="G6" s="10" t="n">
        <v>1</v>
      </c>
      <c r="H6" s="2" t="s">
        <v>308</v>
      </c>
      <c r="I6" s="3" t="s">
        <v>309</v>
      </c>
      <c r="K6" s="3" t="s">
        <v>310</v>
      </c>
      <c r="L6" s="3" t="n">
        <v>4.34782608695652</v>
      </c>
      <c r="M6" s="3" t="n">
        <v>0</v>
      </c>
      <c r="N6" s="3" t="n">
        <v>0.588235294117647</v>
      </c>
      <c r="O6" s="3" t="s">
        <v>311</v>
      </c>
      <c r="P6" s="3" t="s">
        <v>312</v>
      </c>
      <c r="R6" s="3" t="s">
        <v>313</v>
      </c>
    </row>
    <row r="7" customFormat="false" ht="12.8" hidden="false" customHeight="false" outlineLevel="0" collapsed="false">
      <c r="A7" s="9" t="s">
        <v>314</v>
      </c>
      <c r="B7" s="13" t="str">
        <f aca="false">O7</f>
        <v>Reactome5</v>
      </c>
      <c r="C7" s="10" t="n">
        <v>1</v>
      </c>
      <c r="D7" s="8" t="str">
        <f aca="false">P7</f>
        <v>FABP7(71)</v>
      </c>
      <c r="E7" s="10" t="n">
        <v>0</v>
      </c>
      <c r="G7" s="10" t="n">
        <v>0</v>
      </c>
      <c r="I7" s="3" t="s">
        <v>284</v>
      </c>
      <c r="L7" s="3" t="n">
        <v>4.34782608695652</v>
      </c>
      <c r="M7" s="3" t="n">
        <v>0</v>
      </c>
      <c r="N7" s="3" t="n">
        <v>0</v>
      </c>
      <c r="O7" s="3" t="s">
        <v>315</v>
      </c>
      <c r="P7" s="3" t="s">
        <v>286</v>
      </c>
    </row>
    <row r="8" customFormat="false" ht="12.8" hidden="false" customHeight="false" outlineLevel="0" collapsed="false">
      <c r="A8" s="9" t="s">
        <v>316</v>
      </c>
      <c r="B8" s="13" t="str">
        <f aca="false">O8</f>
        <v>Reactome6</v>
      </c>
      <c r="C8" s="10" t="n">
        <v>1</v>
      </c>
      <c r="D8" s="8" t="str">
        <f aca="false">P8</f>
        <v>GRB7(5)</v>
      </c>
      <c r="E8" s="10" t="n">
        <v>0</v>
      </c>
      <c r="G8" s="10" t="n">
        <v>0</v>
      </c>
      <c r="I8" s="3" t="s">
        <v>299</v>
      </c>
      <c r="L8" s="3" t="n">
        <v>4.34782608695652</v>
      </c>
      <c r="M8" s="3" t="n">
        <v>0</v>
      </c>
      <c r="N8" s="3" t="n">
        <v>0</v>
      </c>
      <c r="O8" s="3" t="s">
        <v>317</v>
      </c>
      <c r="P8" s="3" t="s">
        <v>302</v>
      </c>
    </row>
    <row r="9" customFormat="false" ht="12.8" hidden="false" customHeight="false" outlineLevel="0" collapsed="false">
      <c r="A9" s="9" t="s">
        <v>318</v>
      </c>
      <c r="B9" s="13" t="str">
        <f aca="false">O9</f>
        <v>Reactome7</v>
      </c>
      <c r="C9" s="10" t="n">
        <v>1</v>
      </c>
      <c r="D9" s="8" t="str">
        <f aca="false">P9</f>
        <v>FABP7(71)</v>
      </c>
      <c r="E9" s="10" t="n">
        <v>0</v>
      </c>
      <c r="G9" s="10" t="n">
        <v>0</v>
      </c>
      <c r="I9" s="3" t="s">
        <v>284</v>
      </c>
      <c r="L9" s="3" t="n">
        <v>4.34782608695652</v>
      </c>
      <c r="M9" s="3" t="n">
        <v>0</v>
      </c>
      <c r="N9" s="3" t="n">
        <v>0</v>
      </c>
      <c r="O9" s="3" t="s">
        <v>319</v>
      </c>
      <c r="P9" s="3" t="s">
        <v>286</v>
      </c>
    </row>
    <row r="10" customFormat="false" ht="12.8" hidden="false" customHeight="false" outlineLevel="0" collapsed="false">
      <c r="A10" s="9" t="s">
        <v>320</v>
      </c>
      <c r="B10" s="13" t="str">
        <f aca="false">O10</f>
        <v>Reactome8</v>
      </c>
      <c r="C10" s="10" t="n">
        <v>2</v>
      </c>
      <c r="D10" s="2" t="s">
        <v>321</v>
      </c>
      <c r="E10" s="10" t="n">
        <v>1</v>
      </c>
      <c r="F10" s="8" t="str">
        <f aca="false">Q10</f>
        <v>SRC(21)</v>
      </c>
      <c r="G10" s="10" t="n">
        <v>2</v>
      </c>
      <c r="H10" s="8" t="str">
        <f aca="false">R10</f>
        <v>EPCAM(111), SLC16A3(63)</v>
      </c>
      <c r="I10" s="3" t="s">
        <v>322</v>
      </c>
      <c r="J10" s="3" t="s">
        <v>300</v>
      </c>
      <c r="K10" s="3" t="s">
        <v>323</v>
      </c>
      <c r="L10" s="3" t="n">
        <v>8.69565217391304</v>
      </c>
      <c r="M10" s="3" t="n">
        <v>1.61290322580645</v>
      </c>
      <c r="N10" s="3" t="n">
        <v>1.17647058823529</v>
      </c>
      <c r="O10" s="3" t="s">
        <v>324</v>
      </c>
      <c r="P10" s="3" t="s">
        <v>325</v>
      </c>
      <c r="Q10" s="3" t="s">
        <v>303</v>
      </c>
      <c r="R10" s="3" t="s">
        <v>326</v>
      </c>
    </row>
    <row r="11" customFormat="false" ht="23.05" hidden="false" customHeight="false" outlineLevel="0" collapsed="false">
      <c r="A11" s="9" t="s">
        <v>327</v>
      </c>
      <c r="B11" s="13" t="str">
        <f aca="false">O11</f>
        <v>Reactome9</v>
      </c>
      <c r="C11" s="10" t="n">
        <v>2</v>
      </c>
      <c r="D11" s="2" t="s">
        <v>328</v>
      </c>
      <c r="E11" s="10" t="n">
        <v>2</v>
      </c>
      <c r="F11" s="8" t="str">
        <f aca="false">Q11</f>
        <v>MOGS(73), RPN2(74)</v>
      </c>
      <c r="G11" s="10" t="n">
        <v>5</v>
      </c>
      <c r="H11" s="2" t="s">
        <v>329</v>
      </c>
      <c r="I11" s="3" t="s">
        <v>330</v>
      </c>
      <c r="J11" s="3" t="s">
        <v>331</v>
      </c>
      <c r="K11" s="3" t="s">
        <v>332</v>
      </c>
      <c r="L11" s="3" t="n">
        <v>8.69565217391304</v>
      </c>
      <c r="M11" s="3" t="n">
        <v>3.2258064516129</v>
      </c>
      <c r="N11" s="3" t="n">
        <v>2.94117647058823</v>
      </c>
      <c r="O11" s="3" t="s">
        <v>333</v>
      </c>
      <c r="P11" s="3" t="s">
        <v>334</v>
      </c>
      <c r="Q11" s="3" t="s">
        <v>335</v>
      </c>
      <c r="R11" s="3" t="s">
        <v>336</v>
      </c>
    </row>
    <row r="12" customFormat="false" ht="23.05" hidden="false" customHeight="false" outlineLevel="0" collapsed="false">
      <c r="A12" s="9" t="s">
        <v>337</v>
      </c>
      <c r="B12" s="13" t="str">
        <f aca="false">O12</f>
        <v>Reactome10</v>
      </c>
      <c r="C12" s="10" t="n">
        <v>2</v>
      </c>
      <c r="D12" s="8" t="str">
        <f aca="false">P12</f>
        <v>LTF(2), OLFM4(4)</v>
      </c>
      <c r="E12" s="10" t="n">
        <v>2</v>
      </c>
      <c r="F12" s="8" t="str">
        <f aca="false">Q12</f>
        <v>ADAM8(18), HSPA1A(25)</v>
      </c>
      <c r="G12" s="10" t="n">
        <v>9</v>
      </c>
      <c r="H12" s="8" t="str">
        <f aca="false">R12</f>
        <v>CAPN1(55), DERA(112), PSMD7(52), QPCT(113), IDH1(114), CCT8(115), CCT8(115), CDA(116), PSMC2(54)</v>
      </c>
      <c r="I12" s="3" t="s">
        <v>125</v>
      </c>
      <c r="J12" s="3" t="s">
        <v>338</v>
      </c>
      <c r="K12" s="3" t="s">
        <v>339</v>
      </c>
      <c r="L12" s="3" t="n">
        <v>8.69565217391304</v>
      </c>
      <c r="M12" s="3" t="n">
        <v>3.2258064516129</v>
      </c>
      <c r="N12" s="3" t="n">
        <v>5.29411764705882</v>
      </c>
      <c r="O12" s="3" t="s">
        <v>340</v>
      </c>
      <c r="P12" s="3" t="s">
        <v>127</v>
      </c>
      <c r="Q12" s="3" t="s">
        <v>341</v>
      </c>
      <c r="R12" s="3" t="s">
        <v>342</v>
      </c>
    </row>
    <row r="13" customFormat="false" ht="33.9" hidden="false" customHeight="false" outlineLevel="0" collapsed="false">
      <c r="A13" s="9" t="s">
        <v>343</v>
      </c>
      <c r="B13" s="13" t="str">
        <f aca="false">O13</f>
        <v>Reactome11</v>
      </c>
      <c r="C13" s="10" t="n">
        <v>0</v>
      </c>
      <c r="E13" s="10" t="n">
        <v>1</v>
      </c>
      <c r="F13" s="8" t="str">
        <f aca="false">Q13</f>
        <v>PRKCI(12)</v>
      </c>
      <c r="G13" s="10" t="n">
        <v>12</v>
      </c>
      <c r="H13" s="8" t="str">
        <f aca="false">R13</f>
        <v>PSMC6(51), PSMA7(56), HM13(117), PSMD7(52), AKT2(85), COX6A1(29), COX7A2L(31), IDH1(114), PSMD4(53), PSMD4(53), PSMC2(54), NUDT2(46)</v>
      </c>
      <c r="J13" s="3" t="s">
        <v>344</v>
      </c>
      <c r="K13" s="3" t="s">
        <v>345</v>
      </c>
      <c r="L13" s="3" t="n">
        <v>0</v>
      </c>
      <c r="M13" s="3" t="n">
        <v>1.61290322580645</v>
      </c>
      <c r="N13" s="3" t="n">
        <v>7.05882352941176</v>
      </c>
      <c r="O13" s="3" t="s">
        <v>346</v>
      </c>
      <c r="Q13" s="3" t="s">
        <v>347</v>
      </c>
      <c r="R13" s="3" t="s">
        <v>348</v>
      </c>
    </row>
    <row r="14" customFormat="false" ht="33.9" hidden="false" customHeight="false" outlineLevel="0" collapsed="false">
      <c r="A14" s="9" t="s">
        <v>349</v>
      </c>
      <c r="B14" s="13" t="str">
        <f aca="false">O14</f>
        <v>Reactome12</v>
      </c>
      <c r="C14" s="10" t="n">
        <v>0</v>
      </c>
      <c r="E14" s="10" t="n">
        <v>1</v>
      </c>
      <c r="F14" s="8" t="str">
        <f aca="false">Q14</f>
        <v>SRC(21)</v>
      </c>
      <c r="G14" s="10" t="n">
        <v>13</v>
      </c>
      <c r="H14" s="8" t="str">
        <f aca="false">R14</f>
        <v>MTA3(118), MTA3(118), PSMC6(51), PSMA7(56), PSMD7(52), AKT2(85), RHEB(86), RNF2(119), PSMD4(53), PSMD4(53), PSMC2(54), RPS6KB2(87), AKT1S1(93)</v>
      </c>
      <c r="J14" s="3" t="s">
        <v>300</v>
      </c>
      <c r="K14" s="3" t="s">
        <v>350</v>
      </c>
      <c r="L14" s="3" t="n">
        <v>0</v>
      </c>
      <c r="M14" s="3" t="n">
        <v>1.61290322580645</v>
      </c>
      <c r="N14" s="3" t="n">
        <v>7.64705882352941</v>
      </c>
      <c r="O14" s="3" t="s">
        <v>351</v>
      </c>
      <c r="Q14" s="3" t="s">
        <v>303</v>
      </c>
      <c r="R14" s="3" t="s">
        <v>352</v>
      </c>
    </row>
    <row r="15" customFormat="false" ht="33.9" hidden="false" customHeight="false" outlineLevel="0" collapsed="false">
      <c r="A15" s="9" t="s">
        <v>353</v>
      </c>
      <c r="B15" s="13" t="str">
        <f aca="false">O15</f>
        <v>Reactome13</v>
      </c>
      <c r="C15" s="10" t="n">
        <v>0</v>
      </c>
      <c r="E15" s="10" t="n">
        <v>1</v>
      </c>
      <c r="F15" s="8" t="str">
        <f aca="false">Q15</f>
        <v>SRC(21)</v>
      </c>
      <c r="G15" s="10" t="n">
        <v>13</v>
      </c>
      <c r="H15" s="8" t="str">
        <f aca="false">R15</f>
        <v>MTA3(118), MTA3(118), PSMC6(51), PSMA7(56), PSMD7(52), AKT2(85), RHEB(86), RNF2(119), PSMD4(53), PSMD4(53), PSMC2(54), RPS6KB2(87), AKT1S1(93)</v>
      </c>
      <c r="J15" s="3" t="s">
        <v>300</v>
      </c>
      <c r="K15" s="3" t="s">
        <v>350</v>
      </c>
      <c r="L15" s="3" t="n">
        <v>0</v>
      </c>
      <c r="M15" s="3" t="n">
        <v>1.61290322580645</v>
      </c>
      <c r="N15" s="3" t="n">
        <v>7.64705882352941</v>
      </c>
      <c r="O15" s="3" t="s">
        <v>354</v>
      </c>
      <c r="Q15" s="3" t="s">
        <v>303</v>
      </c>
      <c r="R15" s="3" t="s">
        <v>352</v>
      </c>
    </row>
    <row r="16" customFormat="false" ht="33.9" hidden="false" customHeight="false" outlineLevel="0" collapsed="false">
      <c r="A16" s="9" t="s">
        <v>355</v>
      </c>
      <c r="B16" s="13" t="str">
        <f aca="false">O16</f>
        <v>Reactome14</v>
      </c>
      <c r="C16" s="10" t="n">
        <v>0</v>
      </c>
      <c r="E16" s="10" t="n">
        <v>0</v>
      </c>
      <c r="G16" s="10" t="n">
        <v>13</v>
      </c>
      <c r="H16" s="2" t="s">
        <v>356</v>
      </c>
      <c r="K16" s="3" t="s">
        <v>357</v>
      </c>
      <c r="L16" s="3" t="n">
        <v>0</v>
      </c>
      <c r="M16" s="3" t="n">
        <v>0</v>
      </c>
      <c r="N16" s="3" t="n">
        <v>7.64705882352941</v>
      </c>
      <c r="O16" s="3" t="s">
        <v>358</v>
      </c>
      <c r="R16" s="3" t="s">
        <v>359</v>
      </c>
    </row>
    <row r="17" customFormat="false" ht="33.9" hidden="false" customHeight="false" outlineLevel="0" collapsed="false">
      <c r="A17" s="9" t="s">
        <v>360</v>
      </c>
      <c r="B17" s="13" t="str">
        <f aca="false">O17</f>
        <v>Reactome15</v>
      </c>
      <c r="C17" s="10" t="n">
        <v>0</v>
      </c>
      <c r="E17" s="10" t="n">
        <v>0</v>
      </c>
      <c r="G17" s="10" t="n">
        <v>12</v>
      </c>
      <c r="H17" s="2" t="s">
        <v>361</v>
      </c>
      <c r="K17" s="3" t="s">
        <v>362</v>
      </c>
      <c r="L17" s="3" t="n">
        <v>0</v>
      </c>
      <c r="M17" s="3" t="n">
        <v>0</v>
      </c>
      <c r="N17" s="3" t="n">
        <v>7.05882352941176</v>
      </c>
      <c r="O17" s="3" t="s">
        <v>363</v>
      </c>
      <c r="R17" s="3" t="s">
        <v>364</v>
      </c>
    </row>
    <row r="18" customFormat="false" ht="33.9" hidden="false" customHeight="false" outlineLevel="0" collapsed="false">
      <c r="A18" s="9" t="s">
        <v>365</v>
      </c>
      <c r="B18" s="13" t="str">
        <f aca="false">O18</f>
        <v>Reactome16</v>
      </c>
      <c r="C18" s="10" t="n">
        <v>0</v>
      </c>
      <c r="E18" s="10" t="n">
        <v>0</v>
      </c>
      <c r="G18" s="10" t="n">
        <v>11</v>
      </c>
      <c r="H18" s="2" t="s">
        <v>366</v>
      </c>
      <c r="K18" s="3" t="s">
        <v>367</v>
      </c>
      <c r="L18" s="3" t="n">
        <v>0</v>
      </c>
      <c r="M18" s="3" t="n">
        <v>0</v>
      </c>
      <c r="N18" s="3" t="n">
        <v>6.47058823529412</v>
      </c>
      <c r="O18" s="3" t="s">
        <v>368</v>
      </c>
      <c r="R18" s="3" t="s">
        <v>369</v>
      </c>
    </row>
    <row r="19" customFormat="false" ht="33.9" hidden="false" customHeight="false" outlineLevel="0" collapsed="false">
      <c r="A19" s="9" t="s">
        <v>370</v>
      </c>
      <c r="B19" s="13" t="str">
        <f aca="false">O19</f>
        <v>Reactome17</v>
      </c>
      <c r="C19" s="10" t="n">
        <v>0</v>
      </c>
      <c r="E19" s="10" t="n">
        <v>0</v>
      </c>
      <c r="G19" s="10" t="n">
        <v>11</v>
      </c>
      <c r="H19" s="2" t="s">
        <v>371</v>
      </c>
      <c r="K19" s="3" t="s">
        <v>372</v>
      </c>
      <c r="L19" s="3" t="n">
        <v>0</v>
      </c>
      <c r="M19" s="3" t="n">
        <v>0</v>
      </c>
      <c r="N19" s="3" t="n">
        <v>6.47058823529412</v>
      </c>
      <c r="O19" s="3" t="s">
        <v>373</v>
      </c>
      <c r="R19" s="3" t="s">
        <v>374</v>
      </c>
    </row>
    <row r="20" customFormat="false" ht="33.9" hidden="false" customHeight="false" outlineLevel="0" collapsed="false">
      <c r="A20" s="9" t="s">
        <v>375</v>
      </c>
      <c r="B20" s="13" t="str">
        <f aca="false">O20</f>
        <v>Reactome18</v>
      </c>
      <c r="C20" s="10" t="n">
        <v>0</v>
      </c>
      <c r="E20" s="10" t="n">
        <v>0</v>
      </c>
      <c r="G20" s="10" t="n">
        <v>11</v>
      </c>
      <c r="H20" s="8" t="str">
        <f aca="false">R20</f>
        <v>MTA3(118), MTA3(118), PSMC6(51), PSMA7(56), PSMD7(52), AKT2(85), RHEB(86), RNF2(119), PSMD4(53), PSMD4(53), PSMC2(54)</v>
      </c>
      <c r="K20" s="3" t="s">
        <v>376</v>
      </c>
      <c r="L20" s="3" t="n">
        <v>0</v>
      </c>
      <c r="M20" s="3" t="n">
        <v>0</v>
      </c>
      <c r="N20" s="3" t="n">
        <v>6.47058823529412</v>
      </c>
      <c r="O20" s="3" t="s">
        <v>377</v>
      </c>
      <c r="R20" s="3" t="s">
        <v>378</v>
      </c>
    </row>
    <row r="21" customFormat="false" ht="33.9" hidden="false" customHeight="false" outlineLevel="0" collapsed="false">
      <c r="A21" s="9" t="s">
        <v>379</v>
      </c>
      <c r="B21" s="13" t="str">
        <f aca="false">O21</f>
        <v>Reactome19</v>
      </c>
      <c r="C21" s="10" t="n">
        <v>1</v>
      </c>
      <c r="D21" s="8" t="str">
        <f aca="false">P21</f>
        <v>TKFC(72)</v>
      </c>
      <c r="E21" s="10" t="n">
        <v>4</v>
      </c>
      <c r="F21" s="2" t="s">
        <v>380</v>
      </c>
      <c r="G21" s="10" t="n">
        <v>13</v>
      </c>
      <c r="H21" s="2" t="s">
        <v>381</v>
      </c>
      <c r="I21" s="3" t="s">
        <v>288</v>
      </c>
      <c r="J21" s="3" t="s">
        <v>382</v>
      </c>
      <c r="K21" s="3" t="s">
        <v>383</v>
      </c>
      <c r="L21" s="3" t="n">
        <v>4.34782608695652</v>
      </c>
      <c r="M21" s="3" t="n">
        <v>6.45161290322581</v>
      </c>
      <c r="N21" s="3" t="n">
        <v>7.64705882352941</v>
      </c>
      <c r="O21" s="3" t="s">
        <v>384</v>
      </c>
      <c r="P21" s="3" t="s">
        <v>290</v>
      </c>
      <c r="Q21" s="3" t="s">
        <v>385</v>
      </c>
      <c r="R21" s="3" t="s">
        <v>386</v>
      </c>
    </row>
    <row r="22" customFormat="false" ht="33.9" hidden="false" customHeight="false" outlineLevel="0" collapsed="false">
      <c r="A22" s="9" t="s">
        <v>387</v>
      </c>
      <c r="B22" s="13" t="str">
        <f aca="false">O22</f>
        <v>Reactome20</v>
      </c>
      <c r="C22" s="10" t="n">
        <v>0</v>
      </c>
      <c r="E22" s="10" t="n">
        <v>5</v>
      </c>
      <c r="F22" s="8" t="str">
        <f aca="false">Q22</f>
        <v>RPLP1(24), ROBO1(13), SRC(21), RNPS1(76), RNPS1(76)</v>
      </c>
      <c r="G22" s="10" t="n">
        <v>10</v>
      </c>
      <c r="H22" s="8" t="str">
        <f aca="false">R22</f>
        <v>RPS5(48), PSMC6(51), PSMA7(56), PSMD7(52), RPS16(49), ELOC(121), ELOC(121), PSMD4(53), PSMD4(53), PSMC2(54)</v>
      </c>
      <c r="J22" s="3" t="s">
        <v>388</v>
      </c>
      <c r="K22" s="3" t="s">
        <v>389</v>
      </c>
      <c r="L22" s="3" t="n">
        <v>0</v>
      </c>
      <c r="M22" s="3" t="n">
        <v>8.06451612903226</v>
      </c>
      <c r="N22" s="3" t="n">
        <v>5.88235294117647</v>
      </c>
      <c r="O22" s="3" t="s">
        <v>390</v>
      </c>
      <c r="Q22" s="3" t="s">
        <v>391</v>
      </c>
      <c r="R22" s="3" t="s">
        <v>392</v>
      </c>
    </row>
    <row r="23" customFormat="false" ht="23.05" hidden="false" customHeight="false" outlineLevel="0" collapsed="false">
      <c r="A23" s="9" t="s">
        <v>393</v>
      </c>
      <c r="B23" s="13" t="str">
        <f aca="false">O23</f>
        <v>Reactome21</v>
      </c>
      <c r="C23" s="10" t="n">
        <v>0</v>
      </c>
      <c r="E23" s="10" t="n">
        <v>4</v>
      </c>
      <c r="F23" s="8" t="str">
        <f aca="false">Q23</f>
        <v>RPLP1(24), ROBO1(13), RNPS1(76), RNPS1(76)</v>
      </c>
      <c r="G23" s="10" t="n">
        <v>10</v>
      </c>
      <c r="H23" s="8" t="str">
        <f aca="false">R23</f>
        <v>RPS5(48), PSMC6(51), PSMA7(56), PSMD7(52), RPS16(49), ELOC(121), ELOC(121), PSMD4(53), PSMD4(53), PSMC2(54)</v>
      </c>
      <c r="J23" s="3" t="s">
        <v>394</v>
      </c>
      <c r="K23" s="3" t="s">
        <v>389</v>
      </c>
      <c r="L23" s="3" t="n">
        <v>0</v>
      </c>
      <c r="M23" s="3" t="n">
        <v>6.45161290322581</v>
      </c>
      <c r="N23" s="3" t="n">
        <v>5.88235294117647</v>
      </c>
      <c r="O23" s="3" t="s">
        <v>395</v>
      </c>
      <c r="Q23" s="3" t="s">
        <v>396</v>
      </c>
      <c r="R23" s="3" t="s">
        <v>392</v>
      </c>
    </row>
    <row r="24" customFormat="false" ht="33.9" hidden="false" customHeight="false" outlineLevel="0" collapsed="false">
      <c r="A24" s="9" t="s">
        <v>397</v>
      </c>
      <c r="B24" s="13" t="str">
        <f aca="false">O24</f>
        <v>Reactome22</v>
      </c>
      <c r="C24" s="10" t="n">
        <v>0</v>
      </c>
      <c r="E24" s="10" t="n">
        <v>4</v>
      </c>
      <c r="F24" s="2" t="s">
        <v>398</v>
      </c>
      <c r="G24" s="10" t="n">
        <v>12</v>
      </c>
      <c r="H24" s="2" t="s">
        <v>399</v>
      </c>
      <c r="J24" s="3" t="s">
        <v>400</v>
      </c>
      <c r="K24" s="3" t="s">
        <v>401</v>
      </c>
      <c r="L24" s="3" t="n">
        <v>0</v>
      </c>
      <c r="M24" s="3" t="n">
        <v>6.45161290322581</v>
      </c>
      <c r="N24" s="3" t="n">
        <v>7.05882352941176</v>
      </c>
      <c r="O24" s="3" t="s">
        <v>402</v>
      </c>
      <c r="Q24" s="3" t="s">
        <v>403</v>
      </c>
      <c r="R24" s="3" t="s">
        <v>404</v>
      </c>
    </row>
    <row r="25" customFormat="false" ht="23.05" hidden="false" customHeight="false" outlineLevel="0" collapsed="false">
      <c r="A25" s="9" t="s">
        <v>405</v>
      </c>
      <c r="B25" s="13" t="str">
        <f aca="false">O25</f>
        <v>Reactome23</v>
      </c>
      <c r="C25" s="10" t="n">
        <v>1</v>
      </c>
      <c r="D25" s="8" t="str">
        <f aca="false">P25</f>
        <v>TKFC(72)</v>
      </c>
      <c r="E25" s="10" t="n">
        <v>4</v>
      </c>
      <c r="F25" s="2" t="s">
        <v>380</v>
      </c>
      <c r="G25" s="10" t="n">
        <v>5</v>
      </c>
      <c r="H25" s="2" t="s">
        <v>406</v>
      </c>
      <c r="I25" s="3" t="s">
        <v>288</v>
      </c>
      <c r="J25" s="3" t="s">
        <v>382</v>
      </c>
      <c r="K25" s="3" t="s">
        <v>407</v>
      </c>
      <c r="L25" s="3" t="n">
        <v>4.34782608695652</v>
      </c>
      <c r="M25" s="3" t="n">
        <v>6.45161290322581</v>
      </c>
      <c r="N25" s="3" t="n">
        <v>2.94117647058823</v>
      </c>
      <c r="O25" s="3" t="s">
        <v>408</v>
      </c>
      <c r="P25" s="3" t="s">
        <v>290</v>
      </c>
      <c r="Q25" s="3" t="s">
        <v>385</v>
      </c>
      <c r="R25" s="3" t="s">
        <v>409</v>
      </c>
    </row>
    <row r="26" customFormat="false" ht="33.9" hidden="false" customHeight="false" outlineLevel="0" collapsed="false">
      <c r="A26" s="9" t="s">
        <v>410</v>
      </c>
      <c r="B26" s="13" t="str">
        <f aca="false">O26</f>
        <v>Reactome24</v>
      </c>
      <c r="C26" s="10" t="n">
        <v>0</v>
      </c>
      <c r="E26" s="10" t="n">
        <v>5</v>
      </c>
      <c r="F26" s="2" t="s">
        <v>411</v>
      </c>
      <c r="G26" s="10" t="n">
        <v>1</v>
      </c>
      <c r="H26" s="8" t="str">
        <f aca="false">R26</f>
        <v>CAPN1(55)</v>
      </c>
      <c r="J26" s="3" t="s">
        <v>412</v>
      </c>
      <c r="K26" s="3" t="s">
        <v>413</v>
      </c>
      <c r="L26" s="3" t="n">
        <v>0</v>
      </c>
      <c r="M26" s="3" t="n">
        <v>8.06451612903226</v>
      </c>
      <c r="N26" s="3" t="n">
        <v>0.588235294117647</v>
      </c>
      <c r="O26" s="3" t="s">
        <v>414</v>
      </c>
      <c r="Q26" s="3" t="s">
        <v>415</v>
      </c>
      <c r="R26" s="3" t="s">
        <v>416</v>
      </c>
    </row>
    <row r="27" customFormat="false" ht="23.05" hidden="false" customHeight="false" outlineLevel="0" collapsed="false">
      <c r="A27" s="9" t="s">
        <v>417</v>
      </c>
      <c r="B27" s="13" t="str">
        <f aca="false">O27</f>
        <v>Reactome25</v>
      </c>
      <c r="C27" s="10" t="n">
        <v>0</v>
      </c>
      <c r="E27" s="10" t="n">
        <v>4</v>
      </c>
      <c r="F27" s="2" t="s">
        <v>418</v>
      </c>
      <c r="G27" s="10" t="n">
        <v>1</v>
      </c>
      <c r="H27" s="8" t="str">
        <f aca="false">R27</f>
        <v>CAPN1(55)</v>
      </c>
      <c r="J27" s="3" t="s">
        <v>419</v>
      </c>
      <c r="K27" s="3" t="s">
        <v>413</v>
      </c>
      <c r="L27" s="3" t="n">
        <v>0</v>
      </c>
      <c r="M27" s="3" t="n">
        <v>6.45161290322581</v>
      </c>
      <c r="N27" s="3" t="n">
        <v>0.588235294117647</v>
      </c>
      <c r="O27" s="3" t="s">
        <v>420</v>
      </c>
      <c r="Q27" s="3" t="s">
        <v>421</v>
      </c>
      <c r="R27" s="3" t="s">
        <v>416</v>
      </c>
    </row>
    <row r="28" customFormat="false" ht="23.05" hidden="false" customHeight="false" outlineLevel="0" collapsed="false">
      <c r="A28" s="9" t="s">
        <v>422</v>
      </c>
      <c r="B28" s="13" t="str">
        <f aca="false">O28</f>
        <v>Reactome26</v>
      </c>
      <c r="C28" s="10" t="n">
        <v>0</v>
      </c>
      <c r="E28" s="10" t="n">
        <v>4</v>
      </c>
      <c r="F28" s="2" t="s">
        <v>380</v>
      </c>
      <c r="G28" s="10" t="n">
        <v>1</v>
      </c>
      <c r="H28" s="2" t="s">
        <v>423</v>
      </c>
      <c r="J28" s="3" t="s">
        <v>382</v>
      </c>
      <c r="K28" s="3" t="s">
        <v>424</v>
      </c>
      <c r="L28" s="3" t="n">
        <v>0</v>
      </c>
      <c r="M28" s="3" t="n">
        <v>6.45161290322581</v>
      </c>
      <c r="N28" s="3" t="n">
        <v>0.588235294117647</v>
      </c>
      <c r="O28" s="3" t="s">
        <v>425</v>
      </c>
      <c r="Q28" s="3" t="s">
        <v>385</v>
      </c>
      <c r="R28" s="3" t="s">
        <v>426</v>
      </c>
    </row>
    <row r="29" customFormat="false" ht="23.05" hidden="false" customHeight="false" outlineLevel="0" collapsed="false">
      <c r="A29" s="9" t="s">
        <v>427</v>
      </c>
      <c r="B29" s="13" t="str">
        <f aca="false">O29</f>
        <v>Reactome27</v>
      </c>
      <c r="C29" s="10" t="n">
        <v>0</v>
      </c>
      <c r="E29" s="10" t="n">
        <v>4</v>
      </c>
      <c r="F29" s="8" t="str">
        <f aca="false">Q29</f>
        <v>EFNB1(15), EPHB6(16), EPHA4(8), SRC(21)</v>
      </c>
      <c r="G29" s="10" t="n">
        <v>2</v>
      </c>
      <c r="H29" s="2" t="s">
        <v>428</v>
      </c>
      <c r="J29" s="3" t="s">
        <v>429</v>
      </c>
      <c r="K29" s="3" t="s">
        <v>430</v>
      </c>
      <c r="L29" s="3" t="n">
        <v>0</v>
      </c>
      <c r="M29" s="3" t="n">
        <v>6.45161290322581</v>
      </c>
      <c r="N29" s="3" t="n">
        <v>1.17647058823529</v>
      </c>
      <c r="O29" s="3" t="s">
        <v>431</v>
      </c>
      <c r="Q29" s="3" t="s">
        <v>432</v>
      </c>
      <c r="R29" s="3" t="s">
        <v>433</v>
      </c>
    </row>
    <row r="30" customFormat="false" ht="23.05" hidden="false" customHeight="false" outlineLevel="0" collapsed="false">
      <c r="A30" s="9" t="s">
        <v>434</v>
      </c>
      <c r="B30" s="13" t="str">
        <f aca="false">O30</f>
        <v>Reactome28</v>
      </c>
      <c r="C30" s="10" t="n">
        <v>0</v>
      </c>
      <c r="E30" s="10" t="n">
        <v>4</v>
      </c>
      <c r="F30" s="8" t="str">
        <f aca="false">Q30</f>
        <v>EFNB1(15), EPHB6(16), EPHA4(8), SRC(21)</v>
      </c>
      <c r="G30" s="10" t="n">
        <v>2</v>
      </c>
      <c r="H30" s="2" t="s">
        <v>428</v>
      </c>
      <c r="J30" s="3" t="s">
        <v>429</v>
      </c>
      <c r="K30" s="3" t="s">
        <v>430</v>
      </c>
      <c r="L30" s="3" t="n">
        <v>0</v>
      </c>
      <c r="M30" s="3" t="n">
        <v>6.45161290322581</v>
      </c>
      <c r="N30" s="3" t="n">
        <v>1.17647058823529</v>
      </c>
      <c r="O30" s="3" t="s">
        <v>435</v>
      </c>
      <c r="Q30" s="3" t="s">
        <v>432</v>
      </c>
      <c r="R30" s="3" t="s">
        <v>433</v>
      </c>
    </row>
  </sheetData>
  <mergeCells count="3">
    <mergeCell ref="C1:D1"/>
    <mergeCell ref="E1:F1"/>
    <mergeCell ref="G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2024-07-02T19:03:11Z</dcterms:created>
  <dc:creator>Apache POI</dc:creator>
  <dc:description/>
  <dc:language>en-US</dc:language>
  <cp:lastModifiedBy/>
  <dcterms:modified xsi:type="dcterms:W3CDTF">2024-07-02T14:33:39Z</dcterms:modified>
  <cp:revision>1</cp:revision>
  <dc:subject/>
  <dc:title/>
</cp:coreProperties>
</file>